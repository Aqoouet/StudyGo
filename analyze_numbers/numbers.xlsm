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ru0-filer04\expert_scratch\rymax1e\StudyGo\analyze_numbers\"/>
    </mc:Choice>
  </mc:AlternateContent>
  <xr:revisionPtr revIDLastSave="0" documentId="8_{B09E69B0-3B27-4025-9AB1-87C297B2F7C7}" xr6:coauthVersionLast="36" xr6:coauthVersionMax="36" xr10:uidLastSave="{00000000-0000-0000-0000-000000000000}"/>
  <bookViews>
    <workbookView xWindow="0" yWindow="0" windowWidth="38400" windowHeight="16395" xr2:uid="{434779D7-710C-4FEA-BD3E-9EBA7398364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F11" i="1" l="1"/>
  <c r="CG11" i="1"/>
  <c r="CH11" i="1"/>
  <c r="CI11" i="1"/>
  <c r="CJ11" i="1"/>
  <c r="CE12" i="1"/>
  <c r="CF12" i="1"/>
  <c r="CG12" i="1"/>
  <c r="CH12" i="1"/>
  <c r="CI12" i="1"/>
  <c r="CJ12" i="1"/>
  <c r="CA13" i="1"/>
  <c r="CB13" i="1"/>
  <c r="CC13" i="1"/>
  <c r="CD13" i="1"/>
  <c r="CE13" i="1"/>
  <c r="CF13" i="1"/>
  <c r="CG13" i="1"/>
  <c r="CH13" i="1"/>
  <c r="CI13" i="1"/>
  <c r="CJ13" i="1"/>
  <c r="CF14" i="1"/>
  <c r="CG14" i="1"/>
  <c r="CH14" i="1"/>
  <c r="CI14" i="1"/>
  <c r="CJ14" i="1"/>
  <c r="CB16" i="1"/>
  <c r="CC16" i="1"/>
  <c r="CD16" i="1"/>
  <c r="CE16" i="1"/>
  <c r="CF16" i="1"/>
  <c r="CG16" i="1"/>
  <c r="CH16" i="1"/>
  <c r="CI16" i="1"/>
  <c r="CJ16" i="1"/>
  <c r="CE17" i="1"/>
  <c r="CF17" i="1"/>
  <c r="CG17" i="1"/>
  <c r="CH17" i="1"/>
  <c r="CI17" i="1"/>
  <c r="CJ17" i="1"/>
  <c r="CC18" i="1"/>
  <c r="CD18" i="1"/>
  <c r="CE18" i="1"/>
  <c r="CF18" i="1"/>
  <c r="CG18" i="1"/>
  <c r="CH18" i="1"/>
  <c r="CI18" i="1"/>
  <c r="CJ18" i="1"/>
  <c r="CD19" i="1"/>
  <c r="CE19" i="1"/>
  <c r="CF19" i="1"/>
  <c r="CG19" i="1"/>
  <c r="CH19" i="1"/>
  <c r="CI19" i="1"/>
  <c r="CJ19" i="1"/>
  <c r="CE20" i="1"/>
  <c r="CF20" i="1"/>
  <c r="CG20" i="1"/>
  <c r="CH20" i="1"/>
  <c r="CI20" i="1"/>
  <c r="CJ20" i="1"/>
  <c r="CG21" i="1"/>
  <c r="CH21" i="1"/>
  <c r="CI21" i="1"/>
  <c r="CJ21" i="1"/>
  <c r="CG22" i="1"/>
  <c r="CH22" i="1"/>
  <c r="CI22" i="1"/>
  <c r="CJ22" i="1"/>
  <c r="CF9" i="1"/>
  <c r="CG9" i="1"/>
  <c r="CH9" i="1"/>
  <c r="CI9" i="1"/>
  <c r="CJ9" i="1"/>
  <c r="N12" i="1"/>
  <c r="N15" i="1"/>
  <c r="N16" i="1"/>
  <c r="N17" i="1"/>
  <c r="N20" i="1"/>
  <c r="N21" i="1"/>
  <c r="N22" i="1"/>
  <c r="N11" i="1"/>
  <c r="N18" i="1"/>
  <c r="N19" i="1"/>
  <c r="N13" i="1"/>
  <c r="N14" i="1"/>
  <c r="N10" i="1"/>
  <c r="N9" i="1"/>
  <c r="Q13" i="1"/>
  <c r="C19" i="1"/>
  <c r="F10" i="1"/>
  <c r="C16" i="1"/>
  <c r="C15" i="1"/>
  <c r="F18" i="1"/>
  <c r="F11" i="1"/>
  <c r="F20" i="1"/>
  <c r="C12" i="1"/>
  <c r="C21" i="1"/>
  <c r="C11" i="1"/>
  <c r="F14" i="1"/>
  <c r="C18" i="1"/>
  <c r="F15" i="1"/>
  <c r="C10" i="1"/>
  <c r="F9" i="1"/>
  <c r="C9" i="1"/>
  <c r="F22" i="1"/>
  <c r="C22" i="1"/>
  <c r="F17" i="1"/>
  <c r="C13" i="1"/>
  <c r="F13" i="1"/>
  <c r="F19" i="1"/>
  <c r="F21" i="1"/>
  <c r="C17" i="1"/>
  <c r="F16" i="1"/>
  <c r="C20" i="1"/>
  <c r="C14" i="1"/>
  <c r="F12" i="1"/>
  <c r="BG9" i="1" l="1"/>
  <c r="BQ9" i="1" s="1"/>
  <c r="BV11" i="1"/>
  <c r="BW11" i="1"/>
  <c r="BX11" i="1"/>
  <c r="BY11" i="1"/>
  <c r="BZ11" i="1"/>
  <c r="BU12" i="1"/>
  <c r="BV12" i="1"/>
  <c r="BW12" i="1"/>
  <c r="BX12" i="1"/>
  <c r="BY12" i="1"/>
  <c r="BZ12" i="1"/>
  <c r="BQ13" i="1"/>
  <c r="BR13" i="1"/>
  <c r="BS13" i="1"/>
  <c r="BT13" i="1"/>
  <c r="BU13" i="1"/>
  <c r="BV13" i="1"/>
  <c r="BW13" i="1"/>
  <c r="BX13" i="1"/>
  <c r="BY13" i="1"/>
  <c r="BZ13" i="1"/>
  <c r="BV14" i="1"/>
  <c r="BW14" i="1"/>
  <c r="BX14" i="1"/>
  <c r="BY14" i="1"/>
  <c r="BZ14" i="1"/>
  <c r="BR16" i="1"/>
  <c r="BS16" i="1"/>
  <c r="BT16" i="1"/>
  <c r="BU16" i="1"/>
  <c r="BV16" i="1"/>
  <c r="BW16" i="1"/>
  <c r="BX16" i="1"/>
  <c r="BY16" i="1"/>
  <c r="BZ16" i="1"/>
  <c r="BU17" i="1"/>
  <c r="BV17" i="1"/>
  <c r="BW17" i="1"/>
  <c r="BX17" i="1"/>
  <c r="BY17" i="1"/>
  <c r="BZ17" i="1"/>
  <c r="BS18" i="1"/>
  <c r="BT18" i="1"/>
  <c r="BU18" i="1"/>
  <c r="BV18" i="1"/>
  <c r="BW18" i="1"/>
  <c r="BX18" i="1"/>
  <c r="BY18" i="1"/>
  <c r="BZ18" i="1"/>
  <c r="BT19" i="1"/>
  <c r="BU19" i="1"/>
  <c r="BV19" i="1"/>
  <c r="BW19" i="1"/>
  <c r="BX19" i="1"/>
  <c r="BY19" i="1"/>
  <c r="BZ19" i="1"/>
  <c r="BU20" i="1"/>
  <c r="BV20" i="1"/>
  <c r="BW20" i="1"/>
  <c r="BX20" i="1"/>
  <c r="BY20" i="1"/>
  <c r="BZ20" i="1"/>
  <c r="BW21" i="1"/>
  <c r="BX21" i="1"/>
  <c r="BY21" i="1"/>
  <c r="BZ21" i="1"/>
  <c r="BW22" i="1"/>
  <c r="BX22" i="1"/>
  <c r="BY22" i="1"/>
  <c r="BZ22" i="1"/>
  <c r="BV9" i="1"/>
  <c r="BW9" i="1"/>
  <c r="BX9" i="1"/>
  <c r="BY9" i="1"/>
  <c r="BZ9" i="1"/>
  <c r="BG10" i="1"/>
  <c r="BQ10" i="1" s="1"/>
  <c r="BH10" i="1"/>
  <c r="BR10" i="1" s="1"/>
  <c r="BI10" i="1"/>
  <c r="BS10" i="1" s="1"/>
  <c r="BJ10" i="1"/>
  <c r="BT10" i="1" s="1"/>
  <c r="BK10" i="1"/>
  <c r="BU10" i="1" s="1"/>
  <c r="BL10" i="1"/>
  <c r="BV10" i="1" s="1"/>
  <c r="BM10" i="1"/>
  <c r="BW10" i="1" s="1"/>
  <c r="BN10" i="1"/>
  <c r="BX10" i="1" s="1"/>
  <c r="BO10" i="1"/>
  <c r="BY10" i="1" s="1"/>
  <c r="BP10" i="1"/>
  <c r="BG11" i="1"/>
  <c r="BQ11" i="1" s="1"/>
  <c r="BH11" i="1"/>
  <c r="BR11" i="1" s="1"/>
  <c r="BI11" i="1"/>
  <c r="BS11" i="1" s="1"/>
  <c r="BJ11" i="1"/>
  <c r="BT11" i="1" s="1"/>
  <c r="BK11" i="1"/>
  <c r="BU11" i="1" s="1"/>
  <c r="BL11" i="1"/>
  <c r="BM11" i="1"/>
  <c r="BN11" i="1"/>
  <c r="BO11" i="1"/>
  <c r="BP11" i="1"/>
  <c r="BG12" i="1"/>
  <c r="BQ12" i="1" s="1"/>
  <c r="BH12" i="1"/>
  <c r="BR12" i="1" s="1"/>
  <c r="BI12" i="1"/>
  <c r="BS12" i="1" s="1"/>
  <c r="BJ12" i="1"/>
  <c r="BT12" i="1" s="1"/>
  <c r="BK12" i="1"/>
  <c r="BL12" i="1"/>
  <c r="BM12" i="1"/>
  <c r="BN12" i="1"/>
  <c r="BO12" i="1"/>
  <c r="BP12" i="1"/>
  <c r="BG13" i="1"/>
  <c r="BH13" i="1"/>
  <c r="BI13" i="1"/>
  <c r="BJ13" i="1"/>
  <c r="BK13" i="1"/>
  <c r="BL13" i="1"/>
  <c r="BM13" i="1"/>
  <c r="BN13" i="1"/>
  <c r="BO13" i="1"/>
  <c r="BP13" i="1"/>
  <c r="BG14" i="1"/>
  <c r="BQ14" i="1" s="1"/>
  <c r="BH14" i="1"/>
  <c r="BR14" i="1" s="1"/>
  <c r="BI14" i="1"/>
  <c r="BS14" i="1" s="1"/>
  <c r="BJ14" i="1"/>
  <c r="BT14" i="1" s="1"/>
  <c r="BK14" i="1"/>
  <c r="BU14" i="1" s="1"/>
  <c r="BL14" i="1"/>
  <c r="BM14" i="1"/>
  <c r="BN14" i="1"/>
  <c r="BO14" i="1"/>
  <c r="BP14" i="1"/>
  <c r="BG15" i="1"/>
  <c r="BQ15" i="1" s="1"/>
  <c r="BH15" i="1"/>
  <c r="BR15" i="1" s="1"/>
  <c r="BI15" i="1"/>
  <c r="BS15" i="1" s="1"/>
  <c r="BJ15" i="1"/>
  <c r="BT15" i="1" s="1"/>
  <c r="BK15" i="1"/>
  <c r="BU15" i="1" s="1"/>
  <c r="BL15" i="1"/>
  <c r="BV15" i="1" s="1"/>
  <c r="BM15" i="1"/>
  <c r="BW15" i="1" s="1"/>
  <c r="BN15" i="1"/>
  <c r="BX15" i="1" s="1"/>
  <c r="BO15" i="1"/>
  <c r="BY15" i="1" s="1"/>
  <c r="BP15" i="1"/>
  <c r="BG16" i="1"/>
  <c r="BQ16" i="1" s="1"/>
  <c r="BH16" i="1"/>
  <c r="BI16" i="1"/>
  <c r="BJ16" i="1"/>
  <c r="BK16" i="1"/>
  <c r="BL16" i="1"/>
  <c r="BM16" i="1"/>
  <c r="BN16" i="1"/>
  <c r="BO16" i="1"/>
  <c r="BP16" i="1"/>
  <c r="BG17" i="1"/>
  <c r="BQ17" i="1" s="1"/>
  <c r="BH17" i="1"/>
  <c r="BR17" i="1" s="1"/>
  <c r="BI17" i="1"/>
  <c r="BS17" i="1" s="1"/>
  <c r="BJ17" i="1"/>
  <c r="BT17" i="1" s="1"/>
  <c r="BK17" i="1"/>
  <c r="BL17" i="1"/>
  <c r="BM17" i="1"/>
  <c r="BN17" i="1"/>
  <c r="BO17" i="1"/>
  <c r="BP17" i="1"/>
  <c r="BG18" i="1"/>
  <c r="BQ18" i="1" s="1"/>
  <c r="BH18" i="1"/>
  <c r="BR18" i="1" s="1"/>
  <c r="BI18" i="1"/>
  <c r="BJ18" i="1"/>
  <c r="BK18" i="1"/>
  <c r="BL18" i="1"/>
  <c r="BM18" i="1"/>
  <c r="BN18" i="1"/>
  <c r="BO18" i="1"/>
  <c r="BP18" i="1"/>
  <c r="BG19" i="1"/>
  <c r="BQ19" i="1" s="1"/>
  <c r="BH19" i="1"/>
  <c r="BR19" i="1" s="1"/>
  <c r="BI19" i="1"/>
  <c r="BS19" i="1" s="1"/>
  <c r="BJ19" i="1"/>
  <c r="BK19" i="1"/>
  <c r="BL19" i="1"/>
  <c r="BM19" i="1"/>
  <c r="BN19" i="1"/>
  <c r="BO19" i="1"/>
  <c r="BP19" i="1"/>
  <c r="BG20" i="1"/>
  <c r="BQ20" i="1" s="1"/>
  <c r="BH20" i="1"/>
  <c r="BR20" i="1" s="1"/>
  <c r="BI20" i="1"/>
  <c r="BS20" i="1" s="1"/>
  <c r="BJ20" i="1"/>
  <c r="BT20" i="1" s="1"/>
  <c r="BK20" i="1"/>
  <c r="BL20" i="1"/>
  <c r="BM20" i="1"/>
  <c r="BN20" i="1"/>
  <c r="BO20" i="1"/>
  <c r="BP20" i="1"/>
  <c r="BG21" i="1"/>
  <c r="BQ21" i="1" s="1"/>
  <c r="BH21" i="1"/>
  <c r="BR21" i="1" s="1"/>
  <c r="BI21" i="1"/>
  <c r="BS21" i="1" s="1"/>
  <c r="BJ21" i="1"/>
  <c r="BT21" i="1" s="1"/>
  <c r="BK21" i="1"/>
  <c r="BU21" i="1" s="1"/>
  <c r="BL21" i="1"/>
  <c r="BV21" i="1" s="1"/>
  <c r="BM21" i="1"/>
  <c r="BN21" i="1"/>
  <c r="BO21" i="1"/>
  <c r="BP21" i="1"/>
  <c r="BG22" i="1"/>
  <c r="BQ22" i="1" s="1"/>
  <c r="BH22" i="1"/>
  <c r="BR22" i="1" s="1"/>
  <c r="BI22" i="1"/>
  <c r="BS22" i="1" s="1"/>
  <c r="BJ22" i="1"/>
  <c r="BT22" i="1" s="1"/>
  <c r="BK22" i="1"/>
  <c r="BU22" i="1" s="1"/>
  <c r="BL22" i="1"/>
  <c r="BV22" i="1" s="1"/>
  <c r="BM22" i="1"/>
  <c r="BN22" i="1"/>
  <c r="BO22" i="1"/>
  <c r="BP22" i="1"/>
  <c r="BH9" i="1"/>
  <c r="BR9" i="1" s="1"/>
  <c r="BI9" i="1"/>
  <c r="BS9" i="1" s="1"/>
  <c r="BJ9" i="1"/>
  <c r="BT9" i="1" s="1"/>
  <c r="BK9" i="1"/>
  <c r="BU9" i="1" s="1"/>
  <c r="BL9" i="1"/>
  <c r="BM9" i="1"/>
  <c r="BN9" i="1"/>
  <c r="BO9" i="1"/>
  <c r="BP9" i="1"/>
  <c r="BB11" i="1"/>
  <c r="BC11" i="1"/>
  <c r="BD11" i="1"/>
  <c r="BE11" i="1"/>
  <c r="BA12" i="1"/>
  <c r="BB12" i="1"/>
  <c r="BC12" i="1"/>
  <c r="BD12" i="1"/>
  <c r="BE12" i="1"/>
  <c r="AW13" i="1"/>
  <c r="AX13" i="1"/>
  <c r="AY13" i="1"/>
  <c r="AZ13" i="1"/>
  <c r="BA13" i="1"/>
  <c r="BB13" i="1"/>
  <c r="BC13" i="1"/>
  <c r="BD13" i="1"/>
  <c r="BE13" i="1"/>
  <c r="BB14" i="1"/>
  <c r="BC14" i="1"/>
  <c r="BD14" i="1"/>
  <c r="BE14" i="1"/>
  <c r="AX16" i="1"/>
  <c r="AY16" i="1"/>
  <c r="AZ16" i="1"/>
  <c r="BA16" i="1"/>
  <c r="BB16" i="1"/>
  <c r="BC16" i="1"/>
  <c r="BD16" i="1"/>
  <c r="BE16" i="1"/>
  <c r="BA17" i="1"/>
  <c r="BB17" i="1"/>
  <c r="BC17" i="1"/>
  <c r="BD17" i="1"/>
  <c r="BE17" i="1"/>
  <c r="AY18" i="1"/>
  <c r="AZ18" i="1"/>
  <c r="BA18" i="1"/>
  <c r="BB18" i="1"/>
  <c r="BC18" i="1"/>
  <c r="BD18" i="1"/>
  <c r="BE18" i="1"/>
  <c r="AZ19" i="1"/>
  <c r="BA19" i="1"/>
  <c r="BB19" i="1"/>
  <c r="BC19" i="1"/>
  <c r="BD19" i="1"/>
  <c r="BE19" i="1"/>
  <c r="BA20" i="1"/>
  <c r="BB20" i="1"/>
  <c r="BC20" i="1"/>
  <c r="BD20" i="1"/>
  <c r="BE20" i="1"/>
  <c r="BC21" i="1"/>
  <c r="BD21" i="1"/>
  <c r="BE21" i="1"/>
  <c r="BC22" i="1"/>
  <c r="BD22" i="1"/>
  <c r="BE22" i="1"/>
  <c r="AB10" i="1"/>
  <c r="AW10" i="1" s="1"/>
  <c r="AC10" i="1"/>
  <c r="AX10" i="1" s="1"/>
  <c r="AD10" i="1"/>
  <c r="AE10" i="1"/>
  <c r="AZ10" i="1" s="1"/>
  <c r="AF10" i="1"/>
  <c r="BA10" i="1" s="1"/>
  <c r="AG10" i="1"/>
  <c r="BB10" i="1" s="1"/>
  <c r="AH10" i="1"/>
  <c r="BC10" i="1" s="1"/>
  <c r="AI10" i="1"/>
  <c r="BD10" i="1" s="1"/>
  <c r="AJ10" i="1"/>
  <c r="BE10" i="1" s="1"/>
  <c r="AK10" i="1"/>
  <c r="AB11" i="1"/>
  <c r="AC11" i="1"/>
  <c r="AD11" i="1"/>
  <c r="AE11" i="1"/>
  <c r="AF11" i="1"/>
  <c r="AG11" i="1"/>
  <c r="AH11" i="1"/>
  <c r="AI11" i="1"/>
  <c r="AJ11" i="1"/>
  <c r="AK11" i="1"/>
  <c r="AB12" i="1"/>
  <c r="AW12" i="1" s="1"/>
  <c r="AC12" i="1"/>
  <c r="AX12" i="1" s="1"/>
  <c r="AD12" i="1"/>
  <c r="AY12" i="1" s="1"/>
  <c r="AE12" i="1"/>
  <c r="AZ12" i="1" s="1"/>
  <c r="AF12" i="1"/>
  <c r="AG12" i="1"/>
  <c r="AH12" i="1"/>
  <c r="AI12" i="1"/>
  <c r="AJ12" i="1"/>
  <c r="AK12" i="1"/>
  <c r="AB13" i="1"/>
  <c r="AC13" i="1"/>
  <c r="AD13" i="1"/>
  <c r="AE13" i="1"/>
  <c r="AF13" i="1"/>
  <c r="AG13" i="1"/>
  <c r="AH13" i="1"/>
  <c r="AI13" i="1"/>
  <c r="AJ13" i="1"/>
  <c r="AK13" i="1"/>
  <c r="AB14" i="1"/>
  <c r="AW14" i="1" s="1"/>
  <c r="AC14" i="1"/>
  <c r="AX14" i="1" s="1"/>
  <c r="AD14" i="1"/>
  <c r="AY14" i="1" s="1"/>
  <c r="AE14" i="1"/>
  <c r="AF14" i="1"/>
  <c r="BA14" i="1" s="1"/>
  <c r="AG14" i="1"/>
  <c r="AH14" i="1"/>
  <c r="AI14" i="1"/>
  <c r="AJ14" i="1"/>
  <c r="AK14" i="1"/>
  <c r="AB15" i="1"/>
  <c r="AW15" i="1" s="1"/>
  <c r="AC15" i="1"/>
  <c r="AX15" i="1" s="1"/>
  <c r="AD15" i="1"/>
  <c r="AY15" i="1" s="1"/>
  <c r="AE15" i="1"/>
  <c r="AZ15" i="1" s="1"/>
  <c r="AF15" i="1"/>
  <c r="BA15" i="1" s="1"/>
  <c r="AG15" i="1"/>
  <c r="BB15" i="1" s="1"/>
  <c r="AH15" i="1"/>
  <c r="BC15" i="1" s="1"/>
  <c r="AI15" i="1"/>
  <c r="BD15" i="1" s="1"/>
  <c r="AJ15" i="1"/>
  <c r="BE15" i="1" s="1"/>
  <c r="AK15" i="1"/>
  <c r="AB16" i="1"/>
  <c r="AC16" i="1"/>
  <c r="AD16" i="1"/>
  <c r="AE16" i="1"/>
  <c r="AF16" i="1"/>
  <c r="AG16" i="1"/>
  <c r="AH16" i="1"/>
  <c r="AI16" i="1"/>
  <c r="AJ16" i="1"/>
  <c r="AK16" i="1"/>
  <c r="AB17" i="1"/>
  <c r="AW17" i="1" s="1"/>
  <c r="AC17" i="1"/>
  <c r="AD17" i="1"/>
  <c r="AY17" i="1" s="1"/>
  <c r="AE17" i="1"/>
  <c r="AF17" i="1"/>
  <c r="AG17" i="1"/>
  <c r="AH17" i="1"/>
  <c r="AI17" i="1"/>
  <c r="AJ17" i="1"/>
  <c r="AK17" i="1"/>
  <c r="AB18" i="1"/>
  <c r="AW18" i="1" s="1"/>
  <c r="AC18" i="1"/>
  <c r="AD18" i="1"/>
  <c r="AE18" i="1"/>
  <c r="AF18" i="1"/>
  <c r="AG18" i="1"/>
  <c r="AH18" i="1"/>
  <c r="AI18" i="1"/>
  <c r="AJ18" i="1"/>
  <c r="AK18" i="1"/>
  <c r="AB19" i="1"/>
  <c r="AC19" i="1"/>
  <c r="AD19" i="1"/>
  <c r="AE19" i="1"/>
  <c r="AF19" i="1"/>
  <c r="AG19" i="1"/>
  <c r="AH19" i="1"/>
  <c r="AI19" i="1"/>
  <c r="AJ19" i="1"/>
  <c r="AK19" i="1"/>
  <c r="AB20" i="1"/>
  <c r="AC20" i="1"/>
  <c r="AX20" i="1" s="1"/>
  <c r="AD20" i="1"/>
  <c r="AY20" i="1" s="1"/>
  <c r="AE20" i="1"/>
  <c r="AZ20" i="1" s="1"/>
  <c r="AF20" i="1"/>
  <c r="AG20" i="1"/>
  <c r="AH20" i="1"/>
  <c r="AI20" i="1"/>
  <c r="AJ20" i="1"/>
  <c r="AK20" i="1"/>
  <c r="AB21" i="1"/>
  <c r="AC21" i="1"/>
  <c r="AX21" i="1" s="1"/>
  <c r="AD21" i="1"/>
  <c r="AY21" i="1" s="1"/>
  <c r="AE21" i="1"/>
  <c r="AZ21" i="1" s="1"/>
  <c r="AF21" i="1"/>
  <c r="BA21" i="1" s="1"/>
  <c r="AG21" i="1"/>
  <c r="BB21" i="1" s="1"/>
  <c r="AH21" i="1"/>
  <c r="AI21" i="1"/>
  <c r="AJ21" i="1"/>
  <c r="AK21" i="1"/>
  <c r="AB22" i="1"/>
  <c r="AW22" i="1" s="1"/>
  <c r="AC22" i="1"/>
  <c r="AD22" i="1"/>
  <c r="AE22" i="1"/>
  <c r="AF22" i="1"/>
  <c r="AG22" i="1"/>
  <c r="AH22" i="1"/>
  <c r="AI22" i="1"/>
  <c r="AJ22" i="1"/>
  <c r="AK22" i="1"/>
  <c r="AC9" i="1"/>
  <c r="AD9" i="1"/>
  <c r="AE9" i="1"/>
  <c r="AF9" i="1"/>
  <c r="AG9" i="1"/>
  <c r="AH9" i="1"/>
  <c r="AI9" i="1"/>
  <c r="AJ9" i="1"/>
  <c r="AK9" i="1"/>
  <c r="AB9" i="1"/>
  <c r="M18" i="1"/>
  <c r="L12" i="1"/>
  <c r="L16" i="1"/>
  <c r="L20" i="1"/>
  <c r="M21" i="1"/>
  <c r="M14" i="1"/>
  <c r="M16" i="1"/>
  <c r="M12" i="1"/>
  <c r="L13" i="1"/>
  <c r="M9" i="1"/>
  <c r="L22" i="1"/>
  <c r="M22" i="1"/>
  <c r="L21" i="1"/>
  <c r="L17" i="1"/>
  <c r="L18" i="1"/>
  <c r="M11" i="1"/>
  <c r="G15" i="1"/>
  <c r="M20" i="1"/>
  <c r="M13" i="1"/>
  <c r="L14" i="1"/>
  <c r="L10" i="1"/>
  <c r="L9" i="1"/>
  <c r="L15" i="1"/>
  <c r="G13" i="1"/>
  <c r="M17" i="1"/>
  <c r="L11" i="1"/>
  <c r="M19" i="1"/>
  <c r="L19" i="1"/>
  <c r="G12" i="1"/>
  <c r="BZ15" i="1" l="1"/>
  <c r="BZ10" i="1"/>
  <c r="AL13" i="1"/>
  <c r="AO13" i="1" s="1"/>
  <c r="AL14" i="1"/>
  <c r="AO14" i="1" s="1"/>
  <c r="AW21" i="1"/>
  <c r="AX19" i="1"/>
  <c r="AZ17" i="1"/>
  <c r="AY10" i="1"/>
  <c r="AY19" i="1"/>
  <c r="AL17" i="1"/>
  <c r="AT17" i="1" s="1"/>
  <c r="BB22" i="1"/>
  <c r="AW19" i="1"/>
  <c r="AL22" i="1"/>
  <c r="AP22" i="1" s="1"/>
  <c r="BA22" i="1"/>
  <c r="AX17" i="1"/>
  <c r="AL12" i="1"/>
  <c r="AT12" i="1" s="1"/>
  <c r="AX22" i="1"/>
  <c r="BA11" i="1"/>
  <c r="AZ22" i="1"/>
  <c r="AL15" i="1"/>
  <c r="AU15" i="1" s="1"/>
  <c r="AZ11" i="1"/>
  <c r="AW16" i="1"/>
  <c r="AL20" i="1"/>
  <c r="AN20" i="1" s="1"/>
  <c r="AL18" i="1"/>
  <c r="AO18" i="1" s="1"/>
  <c r="AL10" i="1"/>
  <c r="AO10" i="1" s="1"/>
  <c r="AY11" i="1"/>
  <c r="AY22" i="1"/>
  <c r="AW20" i="1"/>
  <c r="AX11" i="1"/>
  <c r="AL21" i="1"/>
  <c r="AL19" i="1"/>
  <c r="AV19" i="1" s="1"/>
  <c r="AL11" i="1"/>
  <c r="AV11" i="1" s="1"/>
  <c r="AX18" i="1"/>
  <c r="AW11" i="1"/>
  <c r="AL16" i="1"/>
  <c r="AZ14" i="1"/>
  <c r="AX9" i="1"/>
  <c r="AY9" i="1"/>
  <c r="AZ9" i="1"/>
  <c r="BB9" i="1"/>
  <c r="BC9" i="1"/>
  <c r="BD9" i="1"/>
  <c r="BE9" i="1"/>
  <c r="AW9" i="1"/>
  <c r="BA9" i="1"/>
  <c r="B21" i="1"/>
  <c r="J21" i="1" s="1"/>
  <c r="O17" i="1"/>
  <c r="B11" i="1"/>
  <c r="J11" i="1" s="1"/>
  <c r="B10" i="1"/>
  <c r="J10" i="1" s="1"/>
  <c r="H10" i="1"/>
  <c r="I10" i="1"/>
  <c r="O10" i="1"/>
  <c r="H11" i="1"/>
  <c r="I11" i="1"/>
  <c r="O11" i="1"/>
  <c r="B12" i="1"/>
  <c r="J12" i="1" s="1"/>
  <c r="H12" i="1"/>
  <c r="I12" i="1"/>
  <c r="O12" i="1"/>
  <c r="H13" i="1"/>
  <c r="I13" i="1"/>
  <c r="B14" i="1"/>
  <c r="J14" i="1" s="1"/>
  <c r="H14" i="1"/>
  <c r="I14" i="1"/>
  <c r="O14" i="1"/>
  <c r="B15" i="1"/>
  <c r="J15" i="1" s="1"/>
  <c r="H15" i="1"/>
  <c r="I15" i="1"/>
  <c r="O15" i="1"/>
  <c r="B16" i="1"/>
  <c r="J16" i="1" s="1"/>
  <c r="CA16" i="1" s="1"/>
  <c r="H16" i="1"/>
  <c r="I16" i="1"/>
  <c r="O16" i="1"/>
  <c r="B17" i="1"/>
  <c r="J17" i="1" s="1"/>
  <c r="H17" i="1"/>
  <c r="I17" i="1"/>
  <c r="B18" i="1"/>
  <c r="J18" i="1" s="1"/>
  <c r="H18" i="1"/>
  <c r="I18" i="1"/>
  <c r="O18" i="1"/>
  <c r="B19" i="1"/>
  <c r="J19" i="1" s="1"/>
  <c r="H19" i="1"/>
  <c r="I19" i="1"/>
  <c r="O19" i="1"/>
  <c r="B20" i="1"/>
  <c r="J20" i="1" s="1"/>
  <c r="H20" i="1"/>
  <c r="I20" i="1"/>
  <c r="O20" i="1"/>
  <c r="H21" i="1"/>
  <c r="I21" i="1"/>
  <c r="O21" i="1"/>
  <c r="B22" i="1"/>
  <c r="J22" i="1" s="1"/>
  <c r="H22" i="1"/>
  <c r="I22" i="1"/>
  <c r="O22" i="1"/>
  <c r="B9" i="1"/>
  <c r="J9" i="1" s="1"/>
  <c r="O9" i="1"/>
  <c r="I9" i="1"/>
  <c r="H9" i="1"/>
  <c r="G17" i="1"/>
  <c r="M10" i="1"/>
  <c r="G19" i="1"/>
  <c r="G20" i="1"/>
  <c r="M15" i="1"/>
  <c r="G9" i="1"/>
  <c r="G11" i="1"/>
  <c r="G22" i="1"/>
  <c r="G18" i="1"/>
  <c r="G21" i="1"/>
  <c r="G14" i="1"/>
  <c r="G10" i="1"/>
  <c r="G16" i="1"/>
  <c r="Q16" i="1"/>
  <c r="AU13" i="1" l="1"/>
  <c r="AP13" i="1"/>
  <c r="AM13" i="1"/>
  <c r="AO15" i="1"/>
  <c r="AV10" i="1"/>
  <c r="CA12" i="1"/>
  <c r="CB12" i="1"/>
  <c r="CC12" i="1"/>
  <c r="CD12" i="1"/>
  <c r="CA22" i="1"/>
  <c r="CB22" i="1"/>
  <c r="CC22" i="1"/>
  <c r="CD22" i="1"/>
  <c r="CE22" i="1"/>
  <c r="CF22" i="1"/>
  <c r="CB19" i="1"/>
  <c r="CA19" i="1"/>
  <c r="CC19" i="1"/>
  <c r="CE9" i="1"/>
  <c r="CC9" i="1"/>
  <c r="CA9" i="1"/>
  <c r="CB9" i="1"/>
  <c r="CD9" i="1"/>
  <c r="CA10" i="1"/>
  <c r="CB10" i="1"/>
  <c r="CC10" i="1"/>
  <c r="CE10" i="1"/>
  <c r="CF10" i="1"/>
  <c r="CG10" i="1"/>
  <c r="CH10" i="1"/>
  <c r="CI10" i="1"/>
  <c r="CD10" i="1"/>
  <c r="CJ10" i="1"/>
  <c r="CB11" i="1"/>
  <c r="CA11" i="1"/>
  <c r="CC11" i="1"/>
  <c r="CD11" i="1"/>
  <c r="CE11" i="1"/>
  <c r="AP15" i="1"/>
  <c r="CD15" i="1"/>
  <c r="CE15" i="1"/>
  <c r="CA15" i="1"/>
  <c r="CB15" i="1"/>
  <c r="CF15" i="1"/>
  <c r="CG15" i="1"/>
  <c r="CH15" i="1"/>
  <c r="CJ15" i="1"/>
  <c r="CI15" i="1"/>
  <c r="CC15" i="1"/>
  <c r="CA20" i="1"/>
  <c r="CB20" i="1"/>
  <c r="CC20" i="1"/>
  <c r="CD20" i="1"/>
  <c r="CA14" i="1"/>
  <c r="CB14" i="1"/>
  <c r="CC14" i="1"/>
  <c r="CD14" i="1"/>
  <c r="CE14" i="1"/>
  <c r="CA18" i="1"/>
  <c r="CB18" i="1"/>
  <c r="CC21" i="1"/>
  <c r="CF21" i="1"/>
  <c r="CA21" i="1"/>
  <c r="CB21" i="1"/>
  <c r="CD21" i="1"/>
  <c r="CE21" i="1"/>
  <c r="AN13" i="1"/>
  <c r="AQ10" i="1"/>
  <c r="CA17" i="1"/>
  <c r="CB17" i="1"/>
  <c r="CD17" i="1"/>
  <c r="CC17" i="1"/>
  <c r="AS13" i="1"/>
  <c r="AQ13" i="1"/>
  <c r="AQ14" i="1"/>
  <c r="AQ18" i="1"/>
  <c r="AR18" i="1"/>
  <c r="AR14" i="1"/>
  <c r="AQ19" i="1"/>
  <c r="AS22" i="1"/>
  <c r="AR13" i="1"/>
  <c r="AP14" i="1"/>
  <c r="AV13" i="1"/>
  <c r="AQ11" i="1"/>
  <c r="AR10" i="1"/>
  <c r="AN14" i="1"/>
  <c r="AR20" i="1"/>
  <c r="AU19" i="1"/>
  <c r="AU17" i="1"/>
  <c r="AN15" i="1"/>
  <c r="AM11" i="1"/>
  <c r="AP18" i="1"/>
  <c r="AS12" i="1"/>
  <c r="AN12" i="1"/>
  <c r="AO22" i="1"/>
  <c r="AT20" i="1"/>
  <c r="AT13" i="1"/>
  <c r="AU12" i="1"/>
  <c r="AP11" i="1"/>
  <c r="AR12" i="1"/>
  <c r="AN11" i="1"/>
  <c r="AV12" i="1"/>
  <c r="AQ16" i="1"/>
  <c r="AP16" i="1"/>
  <c r="AR16" i="1"/>
  <c r="AN16" i="1"/>
  <c r="AV21" i="1"/>
  <c r="AP21" i="1"/>
  <c r="AO21" i="1"/>
  <c r="AN21" i="1"/>
  <c r="AU21" i="1"/>
  <c r="AP17" i="1"/>
  <c r="AR17" i="1"/>
  <c r="AV20" i="1"/>
  <c r="AS16" i="1"/>
  <c r="AV16" i="1"/>
  <c r="AQ12" i="1"/>
  <c r="AO12" i="1"/>
  <c r="AP12" i="1"/>
  <c r="AM12" i="1"/>
  <c r="AT15" i="1"/>
  <c r="AV15" i="1"/>
  <c r="AU11" i="1"/>
  <c r="AV18" i="1"/>
  <c r="AN19" i="1"/>
  <c r="AR22" i="1"/>
  <c r="AT10" i="1"/>
  <c r="AM10" i="1"/>
  <c r="AU10" i="1"/>
  <c r="AN10" i="1"/>
  <c r="AS10" i="1"/>
  <c r="AM15" i="1"/>
  <c r="AN22" i="1"/>
  <c r="AO16" i="1"/>
  <c r="AS18" i="1"/>
  <c r="AN18" i="1"/>
  <c r="AT18" i="1"/>
  <c r="AM18" i="1"/>
  <c r="AU18" i="1"/>
  <c r="AQ21" i="1"/>
  <c r="AV14" i="1"/>
  <c r="AT14" i="1"/>
  <c r="AU14" i="1"/>
  <c r="AM14" i="1"/>
  <c r="AM21" i="1"/>
  <c r="AP10" i="1"/>
  <c r="AS20" i="1"/>
  <c r="AO20" i="1"/>
  <c r="AP20" i="1"/>
  <c r="AQ20" i="1"/>
  <c r="AM22" i="1"/>
  <c r="AV22" i="1"/>
  <c r="AT22" i="1"/>
  <c r="AU22" i="1"/>
  <c r="AO11" i="1"/>
  <c r="AU16" i="1"/>
  <c r="AM16" i="1"/>
  <c r="AT16" i="1"/>
  <c r="AV17" i="1"/>
  <c r="AN17" i="1"/>
  <c r="AO17" i="1"/>
  <c r="AM17" i="1"/>
  <c r="AS17" i="1"/>
  <c r="AM20" i="1"/>
  <c r="AO19" i="1"/>
  <c r="AP19" i="1"/>
  <c r="AS11" i="1"/>
  <c r="AR11" i="1"/>
  <c r="AT11" i="1"/>
  <c r="AS15" i="1"/>
  <c r="AQ15" i="1"/>
  <c r="AR15" i="1"/>
  <c r="AS21" i="1"/>
  <c r="AQ17" i="1"/>
  <c r="AU20" i="1"/>
  <c r="AR21" i="1"/>
  <c r="AS19" i="1"/>
  <c r="AR19" i="1"/>
  <c r="AT19" i="1"/>
  <c r="AT21" i="1"/>
  <c r="AM19" i="1"/>
  <c r="AQ22" i="1"/>
  <c r="AS14" i="1"/>
  <c r="AL9" i="1"/>
  <c r="AM9" i="1" s="1"/>
  <c r="K15" i="1"/>
  <c r="Q20" i="1"/>
  <c r="K19" i="1"/>
  <c r="Q12" i="1"/>
  <c r="Q9" i="1"/>
  <c r="Q18" i="1"/>
  <c r="Q21" i="1"/>
  <c r="Q11" i="1"/>
  <c r="K14" i="1"/>
  <c r="K20" i="1"/>
  <c r="K10" i="1"/>
  <c r="Q10" i="1"/>
  <c r="K16" i="1"/>
  <c r="K18" i="1"/>
  <c r="K13" i="1"/>
  <c r="K12" i="1"/>
  <c r="K21" i="1"/>
  <c r="Q22" i="1"/>
  <c r="Q17" i="1"/>
  <c r="Q15" i="1"/>
  <c r="Q14" i="1"/>
  <c r="K11" i="1"/>
  <c r="K22" i="1"/>
  <c r="K17" i="1"/>
  <c r="Q19" i="1"/>
  <c r="AU9" i="1" l="1"/>
  <c r="AN9" i="1"/>
  <c r="AO9" i="1"/>
  <c r="AQ9" i="1"/>
  <c r="AP9" i="1"/>
  <c r="AV9" i="1"/>
  <c r="AR9" i="1"/>
  <c r="AS9" i="1"/>
  <c r="AT9" i="1"/>
  <c r="K9" i="1"/>
</calcChain>
</file>

<file path=xl/sharedStrings.xml><?xml version="1.0" encoding="utf-8"?>
<sst xmlns="http://schemas.openxmlformats.org/spreadsheetml/2006/main" count="38" uniqueCount="32">
  <si>
    <t>min</t>
  </si>
  <si>
    <t>max</t>
  </si>
  <si>
    <t>avg</t>
  </si>
  <si>
    <t>avg (round down)</t>
  </si>
  <si>
    <t>mode</t>
  </si>
  <si>
    <t>median</t>
  </si>
  <si>
    <t>count</t>
  </si>
  <si>
    <t>max count</t>
  </si>
  <si>
    <t>frrequency</t>
  </si>
  <si>
    <t>Data</t>
  </si>
  <si>
    <t>input</t>
  </si>
  <si>
    <t>freq</t>
  </si>
  <si>
    <t>even</t>
  </si>
  <si>
    <t>odd</t>
  </si>
  <si>
    <t>ranges</t>
  </si>
  <si>
    <t>unique</t>
  </si>
  <si>
    <t>aboveAvg</t>
  </si>
  <si>
    <t>#</t>
  </si>
  <si>
    <t>5</t>
  </si>
  <si>
    <t/>
  </si>
  <si>
    <t>10</t>
  </si>
  <si>
    <t>0</t>
  </si>
  <si>
    <t>unique (sorted)</t>
  </si>
  <si>
    <t>1;2;3</t>
  </si>
  <si>
    <t>10;20;30;40;50</t>
  </si>
  <si>
    <t>-15;-3;7;14;20</t>
  </si>
  <si>
    <t>1;5;12;15;25</t>
  </si>
  <si>
    <t>1;2;3;4;5;6;7;8;9;10</t>
  </si>
  <si>
    <t>-30;-20;-10</t>
  </si>
  <si>
    <t>1;3</t>
  </si>
  <si>
    <t>-5;0;5</t>
  </si>
  <si>
    <t>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</si>
</sst>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>
    <font>
      <sz val="10"/>
      <color theme="1"/>
      <name val="Arial"/>
      <family val="2"/>
      <charset val="204"/>
    </font>
    <font>
      <sz val="10"/>
      <color rgb="FF1F2328"/>
      <name val="Var(--fontStack-monospace, ui-m"/>
      <charset val="204"/>
    </font>
    <font>
      <b/>
      <sz val="10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1" xfId="0" applyBorder="1"/>
    <xf numFmtId="0" fontId="0" fillId="0" borderId="1" xfId="0" applyFill="1" applyBorder="1"/>
    <xf numFmtId="164" fontId="0" fillId="0" borderId="1" xfId="0" applyNumberFormat="1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164" fontId="0" fillId="0" borderId="6" xfId="0" applyNumberFormat="1" applyBorder="1"/>
    <xf numFmtId="164" fontId="0" fillId="0" borderId="11" xfId="0" applyNumberFormat="1" applyBorder="1"/>
    <xf numFmtId="0" fontId="0" fillId="0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21" xfId="0" applyBorder="1"/>
    <xf numFmtId="0" fontId="0" fillId="0" borderId="23" xfId="0" applyBorder="1"/>
    <xf numFmtId="0" fontId="0" fillId="0" borderId="4" xfId="0" applyBorder="1"/>
    <xf numFmtId="0" fontId="0" fillId="0" borderId="24" xfId="0" applyBorder="1"/>
    <xf numFmtId="0" fontId="0" fillId="0" borderId="2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Alignment="1">
      <alignment horizontal="left"/>
    </xf>
    <xf numFmtId="0" fontId="2" fillId="3" borderId="16" xfId="0" applyFont="1" applyFill="1" applyBorder="1" applyAlignment="1">
      <alignment horizontal="left"/>
    </xf>
    <xf numFmtId="0" fontId="2" fillId="3" borderId="17" xfId="0" applyFont="1" applyFill="1" applyBorder="1" applyAlignment="1">
      <alignment horizontal="left"/>
    </xf>
    <xf numFmtId="0" fontId="2" fillId="3" borderId="18" xfId="0" applyFont="1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2" borderId="14" xfId="0" applyFill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9" xfId="0" applyBorder="1" applyAlignment="1">
      <alignment horizontal="left"/>
    </xf>
    <xf numFmtId="0" fontId="0" fillId="2" borderId="1" xfId="0" quotePrefix="1" applyFill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0" borderId="12" xfId="0" applyBorder="1" applyAlignment="1">
      <alignment horizontal="left"/>
    </xf>
    <xf numFmtId="0" fontId="0" fillId="3" borderId="16" xfId="0" applyFill="1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3" xfId="0" applyBorder="1"/>
    <xf numFmtId="0" fontId="1" fillId="2" borderId="13" xfId="0" applyFont="1" applyFill="1" applyBorder="1" applyAlignment="1">
      <alignment vertical="center"/>
    </xf>
    <xf numFmtId="0" fontId="0" fillId="2" borderId="14" xfId="0" applyFill="1" applyBorder="1"/>
    <xf numFmtId="0" fontId="1" fillId="2" borderId="8" xfId="0" applyFont="1" applyFill="1" applyBorder="1" applyAlignment="1">
      <alignment vertical="center"/>
    </xf>
    <xf numFmtId="0" fontId="0" fillId="2" borderId="1" xfId="0" applyFill="1" applyBorder="1"/>
    <xf numFmtId="0" fontId="1" fillId="2" borderId="10" xfId="0" applyFont="1" applyFill="1" applyBorder="1" applyAlignment="1">
      <alignment vertical="center"/>
    </xf>
    <xf numFmtId="0" fontId="0" fillId="2" borderId="11" xfId="0" applyFill="1" applyBorder="1"/>
    <xf numFmtId="0" fontId="0" fillId="0" borderId="19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4" xfId="0" applyBorder="1" applyAlignment="1">
      <alignment horizontal="left"/>
    </xf>
    <xf numFmtId="0" fontId="2" fillId="3" borderId="28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559A0-ADE8-4DBC-AD7A-2F312E5B6735}">
  <sheetPr codeName="Sheet1"/>
  <dimension ref="B7:CJ22"/>
  <sheetViews>
    <sheetView tabSelected="1" topLeftCell="A4" zoomScale="130" zoomScaleNormal="130" workbookViewId="0">
      <selection activeCell="D23" sqref="D23:G37"/>
    </sheetView>
  </sheetViews>
  <sheetFormatPr defaultRowHeight="12.75"/>
  <cols>
    <col min="2" max="2" width="15" bestFit="1" customWidth="1"/>
    <col min="3" max="3" width="17.42578125" bestFit="1" customWidth="1"/>
    <col min="4" max="5" width="17.42578125" customWidth="1"/>
    <col min="6" max="6" width="78.42578125" style="31" customWidth="1"/>
    <col min="7" max="7" width="73.42578125" style="31" customWidth="1"/>
    <col min="8" max="13" width="26.5703125" style="31" customWidth="1"/>
    <col min="14" max="14" width="73.42578125" style="31" bestFit="1" customWidth="1"/>
    <col min="15" max="17" width="26.5703125" style="31" customWidth="1"/>
  </cols>
  <sheetData>
    <row r="7" spans="2:88" ht="13.5" thickBot="1"/>
    <row r="8" spans="2:88" ht="13.5" thickBot="1">
      <c r="B8" s="13" t="s">
        <v>3</v>
      </c>
      <c r="C8" s="14" t="s">
        <v>15</v>
      </c>
      <c r="D8" s="48" t="s">
        <v>17</v>
      </c>
      <c r="E8" s="48" t="s">
        <v>31</v>
      </c>
      <c r="F8" s="32" t="s">
        <v>10</v>
      </c>
      <c r="G8" s="33" t="s">
        <v>11</v>
      </c>
      <c r="H8" s="33" t="s">
        <v>0</v>
      </c>
      <c r="I8" s="33" t="s">
        <v>1</v>
      </c>
      <c r="J8" s="33" t="s">
        <v>2</v>
      </c>
      <c r="K8" s="33" t="s">
        <v>4</v>
      </c>
      <c r="L8" s="33" t="s">
        <v>12</v>
      </c>
      <c r="M8" s="33" t="s">
        <v>13</v>
      </c>
      <c r="N8" s="67" t="s">
        <v>14</v>
      </c>
      <c r="O8" s="33" t="s">
        <v>5</v>
      </c>
      <c r="P8" s="33" t="s">
        <v>22</v>
      </c>
      <c r="Q8" s="34" t="s">
        <v>16</v>
      </c>
      <c r="R8" s="49" t="s">
        <v>9</v>
      </c>
      <c r="S8" s="50"/>
      <c r="T8" s="50"/>
      <c r="U8" s="50"/>
      <c r="V8" s="50"/>
      <c r="W8" s="50"/>
      <c r="X8" s="50"/>
      <c r="Y8" s="50"/>
      <c r="Z8" s="50"/>
      <c r="AA8" s="50"/>
      <c r="AB8" s="50" t="s">
        <v>6</v>
      </c>
      <c r="AC8" s="50"/>
      <c r="AD8" s="50"/>
      <c r="AE8" s="50"/>
      <c r="AF8" s="50"/>
      <c r="AG8" s="50"/>
      <c r="AH8" s="50"/>
      <c r="AI8" s="50"/>
      <c r="AJ8" s="50"/>
      <c r="AK8" s="52"/>
      <c r="AL8" s="27" t="s">
        <v>7</v>
      </c>
      <c r="AM8" s="53" t="s">
        <v>4</v>
      </c>
      <c r="AN8" s="50"/>
      <c r="AO8" s="50"/>
      <c r="AP8" s="50"/>
      <c r="AQ8" s="50"/>
      <c r="AR8" s="50"/>
      <c r="AS8" s="50"/>
      <c r="AT8" s="50"/>
      <c r="AU8" s="50"/>
      <c r="AV8" s="50"/>
      <c r="AW8" s="50" t="s">
        <v>8</v>
      </c>
      <c r="AX8" s="50"/>
      <c r="AY8" s="50"/>
      <c r="AZ8" s="50"/>
      <c r="BA8" s="50"/>
      <c r="BB8" s="50"/>
      <c r="BC8" s="50"/>
      <c r="BD8" s="50"/>
      <c r="BE8" s="50"/>
      <c r="BF8" s="50"/>
      <c r="BG8" s="50" t="s">
        <v>12</v>
      </c>
      <c r="BH8" s="50"/>
      <c r="BI8" s="50"/>
      <c r="BJ8" s="50"/>
      <c r="BK8" s="50"/>
      <c r="BL8" s="50"/>
      <c r="BM8" s="50"/>
      <c r="BN8" s="50"/>
      <c r="BO8" s="50"/>
      <c r="BP8" s="50"/>
      <c r="BQ8" s="50" t="s">
        <v>13</v>
      </c>
      <c r="BR8" s="50"/>
      <c r="BS8" s="50"/>
      <c r="BT8" s="50"/>
      <c r="BU8" s="50"/>
      <c r="BV8" s="50"/>
      <c r="BW8" s="50"/>
      <c r="BX8" s="50"/>
      <c r="BY8" s="50"/>
      <c r="BZ8" s="50"/>
      <c r="CA8" s="50" t="s">
        <v>16</v>
      </c>
      <c r="CB8" s="50"/>
      <c r="CC8" s="50"/>
      <c r="CD8" s="50"/>
      <c r="CE8" s="50"/>
      <c r="CF8" s="50"/>
      <c r="CG8" s="50"/>
      <c r="CH8" s="50"/>
      <c r="CI8" s="50"/>
      <c r="CJ8" s="51"/>
    </row>
    <row r="9" spans="2:88">
      <c r="B9" s="16">
        <f>AVERAGE(R9:AA9)</f>
        <v>1.8</v>
      </c>
      <c r="C9" s="6" t="str">
        <f>UniqueConcat(R9:AA9,",")</f>
        <v>1,2,3</v>
      </c>
      <c r="D9" s="5">
        <v>0</v>
      </c>
      <c r="E9" s="54">
        <v>2</v>
      </c>
      <c r="F9" s="35" t="str">
        <f t="shared" ref="F9:F22" si="0">ConcatNonEmpty(R9:AA9,";")</f>
        <v>1;2;1;3;2</v>
      </c>
      <c r="G9" s="36" t="str">
        <f t="shared" ref="G9:G22" si="1">UniqueConcat(AW9:BF9,";")</f>
        <v>1:2;2:2;3:1</v>
      </c>
      <c r="H9" s="36">
        <f>MIN(R9:AA9)</f>
        <v>1</v>
      </c>
      <c r="I9" s="36">
        <f>MAX(R9:AA9)</f>
        <v>3</v>
      </c>
      <c r="J9" s="36">
        <f>IF(B9&lt;0,TRUNC(B9)-1,IF(B9=0,0,TRUNC(B9)))</f>
        <v>1</v>
      </c>
      <c r="K9" s="36" t="str">
        <f t="shared" ref="K9:K22" si="2">UniqueConcat(AM9:AV9,";")</f>
        <v>1;2</v>
      </c>
      <c r="L9" s="36" t="str">
        <f t="shared" ref="L9:L22" si="3">ConcatNonEmpty(BG9:BP9,";")</f>
        <v>2;2</v>
      </c>
      <c r="M9" s="61" t="str">
        <f t="shared" ref="M9:M22" si="4">ConcatNonEmpty(BQ9:BZ9,";")</f>
        <v>1;1;3</v>
      </c>
      <c r="N9" s="40" t="str">
        <f>GroupNumbers(F9,E9)</f>
        <v>0-1:[1;1];2-3:[2;3;2]</v>
      </c>
      <c r="O9" s="64">
        <f>TRUNC(MEDIAN(R9:AA9))</f>
        <v>2</v>
      </c>
      <c r="P9" s="37" t="s">
        <v>23</v>
      </c>
      <c r="Q9" s="38" t="str">
        <f t="shared" ref="Q9:Q22" si="5">ConcatNonEmpty(CA9:CJ9,";")</f>
        <v>1;2;1;3;2</v>
      </c>
      <c r="R9" s="55">
        <v>1</v>
      </c>
      <c r="S9" s="56">
        <v>2</v>
      </c>
      <c r="T9" s="56">
        <v>1</v>
      </c>
      <c r="U9" s="56">
        <v>3</v>
      </c>
      <c r="V9" s="56">
        <v>2</v>
      </c>
      <c r="W9" s="56"/>
      <c r="X9" s="56"/>
      <c r="Y9" s="56"/>
      <c r="Z9" s="56"/>
      <c r="AA9" s="56"/>
      <c r="AB9" s="12">
        <f t="shared" ref="AB9:AB22" si="6">IF(R9="","",COUNTIF($R9:$AA9,R9))</f>
        <v>2</v>
      </c>
      <c r="AC9" s="12">
        <f t="shared" ref="AC9:AK9" si="7">IF(S9="","",COUNTIF($R9:$AA9,S9))</f>
        <v>2</v>
      </c>
      <c r="AD9" s="12">
        <f t="shared" si="7"/>
        <v>2</v>
      </c>
      <c r="AE9" s="12">
        <f t="shared" si="7"/>
        <v>1</v>
      </c>
      <c r="AF9" s="12">
        <f t="shared" si="7"/>
        <v>2</v>
      </c>
      <c r="AG9" s="12" t="str">
        <f t="shared" si="7"/>
        <v/>
      </c>
      <c r="AH9" s="12" t="str">
        <f t="shared" si="7"/>
        <v/>
      </c>
      <c r="AI9" s="12" t="str">
        <f t="shared" si="7"/>
        <v/>
      </c>
      <c r="AJ9" s="12" t="str">
        <f t="shared" si="7"/>
        <v/>
      </c>
      <c r="AK9" s="15" t="str">
        <f t="shared" si="7"/>
        <v/>
      </c>
      <c r="AL9" s="28">
        <f>MAX(AB9:AK9)</f>
        <v>2</v>
      </c>
      <c r="AM9" s="24">
        <f t="shared" ref="AM9:AV9" si="8">IF(AB9=$AL9,R9,"")</f>
        <v>1</v>
      </c>
      <c r="AN9" s="12">
        <f t="shared" si="8"/>
        <v>2</v>
      </c>
      <c r="AO9" s="12">
        <f t="shared" si="8"/>
        <v>1</v>
      </c>
      <c r="AP9" s="12" t="str">
        <f t="shared" si="8"/>
        <v/>
      </c>
      <c r="AQ9" s="12">
        <f t="shared" si="8"/>
        <v>2</v>
      </c>
      <c r="AR9" s="12" t="str">
        <f t="shared" si="8"/>
        <v/>
      </c>
      <c r="AS9" s="12" t="str">
        <f t="shared" si="8"/>
        <v/>
      </c>
      <c r="AT9" s="12" t="str">
        <f t="shared" si="8"/>
        <v/>
      </c>
      <c r="AU9" s="12" t="str">
        <f t="shared" si="8"/>
        <v/>
      </c>
      <c r="AV9" s="12" t="str">
        <f t="shared" si="8"/>
        <v/>
      </c>
      <c r="AW9" s="12" t="str">
        <f t="shared" ref="AW9:BE9" si="9">IF(R9="","",R9&amp;":"&amp;AB9)</f>
        <v>1:2</v>
      </c>
      <c r="AX9" s="12" t="str">
        <f t="shared" si="9"/>
        <v>2:2</v>
      </c>
      <c r="AY9" s="12" t="str">
        <f t="shared" si="9"/>
        <v>1:2</v>
      </c>
      <c r="AZ9" s="12" t="str">
        <f t="shared" si="9"/>
        <v>3:1</v>
      </c>
      <c r="BA9" s="12" t="str">
        <f t="shared" si="9"/>
        <v>2:2</v>
      </c>
      <c r="BB9" s="12" t="str">
        <f t="shared" si="9"/>
        <v/>
      </c>
      <c r="BC9" s="12" t="str">
        <f t="shared" si="9"/>
        <v/>
      </c>
      <c r="BD9" s="12" t="str">
        <f t="shared" si="9"/>
        <v/>
      </c>
      <c r="BE9" s="12" t="str">
        <f t="shared" si="9"/>
        <v/>
      </c>
      <c r="BF9" s="12"/>
      <c r="BG9" s="21" t="str">
        <f>IF(R9="","",IF((R9/2)-TRUNC(R9/2)=0,R9,""))</f>
        <v/>
      </c>
      <c r="BH9" s="21">
        <f t="shared" ref="BH9:BP9" si="10">IF(S9="","",IF((S9/2)-TRUNC(S9/2)=0,S9,""))</f>
        <v>2</v>
      </c>
      <c r="BI9" s="21" t="str">
        <f t="shared" si="10"/>
        <v/>
      </c>
      <c r="BJ9" s="21" t="str">
        <f t="shared" si="10"/>
        <v/>
      </c>
      <c r="BK9" s="21">
        <f t="shared" si="10"/>
        <v>2</v>
      </c>
      <c r="BL9" s="21" t="str">
        <f t="shared" si="10"/>
        <v/>
      </c>
      <c r="BM9" s="21" t="str">
        <f t="shared" si="10"/>
        <v/>
      </c>
      <c r="BN9" s="21" t="str">
        <f t="shared" si="10"/>
        <v/>
      </c>
      <c r="BO9" s="21" t="str">
        <f t="shared" si="10"/>
        <v/>
      </c>
      <c r="BP9" s="21" t="str">
        <f t="shared" si="10"/>
        <v/>
      </c>
      <c r="BQ9" s="21">
        <f>IF(R9="","",IF(BG9="",R9,""))</f>
        <v>1</v>
      </c>
      <c r="BR9" s="21" t="str">
        <f t="shared" ref="BR9:BZ9" si="11">IF(S9="","",IF(BH9="",S9,""))</f>
        <v/>
      </c>
      <c r="BS9" s="21">
        <f t="shared" si="11"/>
        <v>1</v>
      </c>
      <c r="BT9" s="21">
        <f t="shared" si="11"/>
        <v>3</v>
      </c>
      <c r="BU9" s="21" t="str">
        <f t="shared" si="11"/>
        <v/>
      </c>
      <c r="BV9" s="21" t="str">
        <f t="shared" si="11"/>
        <v/>
      </c>
      <c r="BW9" s="21" t="str">
        <f t="shared" si="11"/>
        <v/>
      </c>
      <c r="BX9" s="21" t="str">
        <f t="shared" si="11"/>
        <v/>
      </c>
      <c r="BY9" s="21" t="str">
        <f t="shared" si="11"/>
        <v/>
      </c>
      <c r="BZ9" s="21" t="str">
        <f t="shared" si="11"/>
        <v/>
      </c>
      <c r="CA9" s="21">
        <f t="shared" ref="CA9:CA22" si="12">IF(R9="","",IF(R9&gt;=$J9,R9,""))</f>
        <v>1</v>
      </c>
      <c r="CB9" s="21">
        <f t="shared" ref="CB9:CB22" si="13">IF(S9="","",IF(S9&gt;=$J9,S9,""))</f>
        <v>2</v>
      </c>
      <c r="CC9" s="21">
        <f t="shared" ref="CC9:CC22" si="14">IF(T9="","",IF(T9&gt;=$J9,T9,""))</f>
        <v>1</v>
      </c>
      <c r="CD9" s="21">
        <f t="shared" ref="CD9:CD22" si="15">IF(U9="","",IF(U9&gt;=$J9,U9,""))</f>
        <v>3</v>
      </c>
      <c r="CE9" s="21">
        <f t="shared" ref="CE9:CE22" si="16">IF(V9="","",IF(V9&gt;=$J9,V9,""))</f>
        <v>2</v>
      </c>
      <c r="CF9" s="21" t="str">
        <f t="shared" ref="CF9:CF22" si="17">IF(W9="","",IF(W9&gt;=$J9,W9,""))</f>
        <v/>
      </c>
      <c r="CG9" s="21" t="str">
        <f t="shared" ref="CG9:CG22" si="18">IF(X9="","",IF(X9&gt;=$J9,X9,""))</f>
        <v/>
      </c>
      <c r="CH9" s="21" t="str">
        <f t="shared" ref="CH9:CH22" si="19">IF(Y9="","",IF(Y9&gt;=$J9,Y9,""))</f>
        <v/>
      </c>
      <c r="CI9" s="21" t="str">
        <f t="shared" ref="CI9:CI22" si="20">IF(Z9="","",IF(Z9&gt;=$J9,Z9,""))</f>
        <v/>
      </c>
      <c r="CJ9" s="22" t="str">
        <f t="shared" ref="CJ9:CJ22" si="21">IF(AA9="","",IF(AA9&gt;=$J9,AA9,""))</f>
        <v/>
      </c>
    </row>
    <row r="10" spans="2:88">
      <c r="B10" s="3">
        <f>AVERAGE(R10:AA10)</f>
        <v>26</v>
      </c>
      <c r="C10" s="8" t="str">
        <f t="shared" ref="C10:C22" si="22">UniqueConcat(R10:AA10,",")</f>
        <v>10,20,30,40,50</v>
      </c>
      <c r="D10" s="7">
        <v>1</v>
      </c>
      <c r="E10" s="7">
        <v>20</v>
      </c>
      <c r="F10" s="39" t="str">
        <f t="shared" si="0"/>
        <v>10;20;10;30;40;50;40;30;20;10</v>
      </c>
      <c r="G10" s="40" t="str">
        <f t="shared" si="1"/>
        <v>10:3;20:2;30:2;40:2;50:1</v>
      </c>
      <c r="H10" s="40">
        <f t="shared" ref="H10:H22" si="23">MIN(R10:AA10)</f>
        <v>10</v>
      </c>
      <c r="I10" s="40">
        <f t="shared" ref="I10:I22" si="24">MAX(R10:AA10)</f>
        <v>50</v>
      </c>
      <c r="J10" s="40">
        <f>IF(B10&lt;0,TRUNC(B10)-1,IF(B10=0,0,TRUNC(B10)))</f>
        <v>26</v>
      </c>
      <c r="K10" s="40" t="str">
        <f t="shared" si="2"/>
        <v>10</v>
      </c>
      <c r="L10" s="40" t="str">
        <f t="shared" si="3"/>
        <v>10;20;10;30;40;50;40;30;20;10</v>
      </c>
      <c r="M10" s="62" t="str">
        <f t="shared" si="4"/>
        <v/>
      </c>
      <c r="N10" s="40" t="str">
        <f t="shared" ref="N10:N22" si="25">GroupNumbers(F10,E10)</f>
        <v>0-19:[10;10;10];20-39:[20;30;30;20];40-59:[40;50;40]</v>
      </c>
      <c r="O10" s="65">
        <f>TRUNC(MEDIAN(R10:AA10))</f>
        <v>25</v>
      </c>
      <c r="P10" s="41" t="s">
        <v>24</v>
      </c>
      <c r="Q10" s="42" t="str">
        <f t="shared" si="5"/>
        <v>30;40;50;40;30</v>
      </c>
      <c r="R10" s="57">
        <v>10</v>
      </c>
      <c r="S10" s="58">
        <v>20</v>
      </c>
      <c r="T10" s="58">
        <v>10</v>
      </c>
      <c r="U10" s="58">
        <v>30</v>
      </c>
      <c r="V10" s="58">
        <v>40</v>
      </c>
      <c r="W10" s="58">
        <v>50</v>
      </c>
      <c r="X10" s="58">
        <v>40</v>
      </c>
      <c r="Y10" s="58">
        <v>30</v>
      </c>
      <c r="Z10" s="58">
        <v>20</v>
      </c>
      <c r="AA10" s="58">
        <v>10</v>
      </c>
      <c r="AB10" s="1">
        <f t="shared" si="6"/>
        <v>3</v>
      </c>
      <c r="AC10" s="1">
        <f t="shared" ref="AC10:AC22" si="26">IF(S10="","",COUNTIF($R10:$AA10,S10))</f>
        <v>2</v>
      </c>
      <c r="AD10" s="1">
        <f t="shared" ref="AD10:AD22" si="27">IF(T10="","",COUNTIF($R10:$AA10,T10))</f>
        <v>3</v>
      </c>
      <c r="AE10" s="1">
        <f t="shared" ref="AE10:AE22" si="28">IF(U10="","",COUNTIF($R10:$AA10,U10))</f>
        <v>2</v>
      </c>
      <c r="AF10" s="1">
        <f t="shared" ref="AF10:AF22" si="29">IF(V10="","",COUNTIF($R10:$AA10,V10))</f>
        <v>2</v>
      </c>
      <c r="AG10" s="1">
        <f t="shared" ref="AG10:AG22" si="30">IF(W10="","",COUNTIF($R10:$AA10,W10))</f>
        <v>1</v>
      </c>
      <c r="AH10" s="1">
        <f t="shared" ref="AH10:AH22" si="31">IF(X10="","",COUNTIF($R10:$AA10,X10))</f>
        <v>2</v>
      </c>
      <c r="AI10" s="1">
        <f t="shared" ref="AI10:AI22" si="32">IF(Y10="","",COUNTIF($R10:$AA10,Y10))</f>
        <v>2</v>
      </c>
      <c r="AJ10" s="1">
        <f t="shared" ref="AJ10:AJ22" si="33">IF(Z10="","",COUNTIF($R10:$AA10,Z10))</f>
        <v>2</v>
      </c>
      <c r="AK10" s="4">
        <f t="shared" ref="AK10:AK22" si="34">IF(AA10="","",COUNTIF($R10:$AA10,AA10))</f>
        <v>3</v>
      </c>
      <c r="AL10" s="29">
        <f t="shared" ref="AL10:AL22" si="35">MAX(AB10:AK10)</f>
        <v>3</v>
      </c>
      <c r="AM10" s="25">
        <f t="shared" ref="AM10:AM22" si="36">IF(AB10=$AL10,R10,"")</f>
        <v>10</v>
      </c>
      <c r="AN10" s="1" t="str">
        <f t="shared" ref="AN10:AN22" si="37">IF(AC10=$AL10,S10,"")</f>
        <v/>
      </c>
      <c r="AO10" s="1">
        <f t="shared" ref="AO10:AO22" si="38">IF(AD10=$AL10,T10,"")</f>
        <v>10</v>
      </c>
      <c r="AP10" s="1" t="str">
        <f t="shared" ref="AP10:AP22" si="39">IF(AE10=$AL10,U10,"")</f>
        <v/>
      </c>
      <c r="AQ10" s="1" t="str">
        <f t="shared" ref="AQ10:AQ22" si="40">IF(AF10=$AL10,V10,"")</f>
        <v/>
      </c>
      <c r="AR10" s="1" t="str">
        <f t="shared" ref="AR10:AR22" si="41">IF(AG10=$AL10,W10,"")</f>
        <v/>
      </c>
      <c r="AS10" s="1" t="str">
        <f t="shared" ref="AS10:AS22" si="42">IF(AH10=$AL10,X10,"")</f>
        <v/>
      </c>
      <c r="AT10" s="1" t="str">
        <f t="shared" ref="AT10:AT22" si="43">IF(AI10=$AL10,Y10,"")</f>
        <v/>
      </c>
      <c r="AU10" s="1" t="str">
        <f t="shared" ref="AU10:AU22" si="44">IF(AJ10=$AL10,Z10,"")</f>
        <v/>
      </c>
      <c r="AV10" s="1">
        <f t="shared" ref="AV10:AV22" si="45">IF(AK10=$AL10,AA10,"")</f>
        <v>10</v>
      </c>
      <c r="AW10" s="1" t="str">
        <f t="shared" ref="AW10:AW22" si="46">IF(R10="","",R10&amp;":"&amp;AB10)</f>
        <v>10:3</v>
      </c>
      <c r="AX10" s="1" t="str">
        <f t="shared" ref="AX10:AX22" si="47">IF(S10="","",S10&amp;":"&amp;AC10)</f>
        <v>20:2</v>
      </c>
      <c r="AY10" s="1" t="str">
        <f t="shared" ref="AY10:AY22" si="48">IF(T10="","",T10&amp;":"&amp;AD10)</f>
        <v>10:3</v>
      </c>
      <c r="AZ10" s="1" t="str">
        <f t="shared" ref="AZ10:AZ22" si="49">IF(U10="","",U10&amp;":"&amp;AE10)</f>
        <v>30:2</v>
      </c>
      <c r="BA10" s="1" t="str">
        <f t="shared" ref="BA10:BA22" si="50">IF(V10="","",V10&amp;":"&amp;AF10)</f>
        <v>40:2</v>
      </c>
      <c r="BB10" s="1" t="str">
        <f t="shared" ref="BB10:BB22" si="51">IF(W10="","",W10&amp;":"&amp;AG10)</f>
        <v>50:1</v>
      </c>
      <c r="BC10" s="1" t="str">
        <f t="shared" ref="BC10:BC22" si="52">IF(X10="","",X10&amp;":"&amp;AH10)</f>
        <v>40:2</v>
      </c>
      <c r="BD10" s="1" t="str">
        <f t="shared" ref="BD10:BD22" si="53">IF(Y10="","",Y10&amp;":"&amp;AI10)</f>
        <v>30:2</v>
      </c>
      <c r="BE10" s="1" t="str">
        <f t="shared" ref="BE10:BE22" si="54">IF(Z10="","",Z10&amp;":"&amp;AJ10)</f>
        <v>20:2</v>
      </c>
      <c r="BF10" s="1"/>
      <c r="BG10" s="2">
        <f t="shared" ref="BG10:BG22" si="55">IF(R10="","",IF((R10/2)-TRUNC(R10/2)=0,R10,""))</f>
        <v>10</v>
      </c>
      <c r="BH10" s="2">
        <f t="shared" ref="BH10:BH22" si="56">IF(S10="","",IF((S10/2)-TRUNC(S10/2)=0,S10,""))</f>
        <v>20</v>
      </c>
      <c r="BI10" s="2">
        <f t="shared" ref="BI10:BI22" si="57">IF(T10="","",IF((T10/2)-TRUNC(T10/2)=0,T10,""))</f>
        <v>10</v>
      </c>
      <c r="BJ10" s="2">
        <f t="shared" ref="BJ10:BJ22" si="58">IF(U10="","",IF((U10/2)-TRUNC(U10/2)=0,U10,""))</f>
        <v>30</v>
      </c>
      <c r="BK10" s="2">
        <f t="shared" ref="BK10:BK22" si="59">IF(V10="","",IF((V10/2)-TRUNC(V10/2)=0,V10,""))</f>
        <v>40</v>
      </c>
      <c r="BL10" s="2">
        <f t="shared" ref="BL10:BL22" si="60">IF(W10="","",IF((W10/2)-TRUNC(W10/2)=0,W10,""))</f>
        <v>50</v>
      </c>
      <c r="BM10" s="2">
        <f t="shared" ref="BM10:BM22" si="61">IF(X10="","",IF((X10/2)-TRUNC(X10/2)=0,X10,""))</f>
        <v>40</v>
      </c>
      <c r="BN10" s="2">
        <f t="shared" ref="BN10:BN22" si="62">IF(Y10="","",IF((Y10/2)-TRUNC(Y10/2)=0,Y10,""))</f>
        <v>30</v>
      </c>
      <c r="BO10" s="2">
        <f t="shared" ref="BO10:BO22" si="63">IF(Z10="","",IF((Z10/2)-TRUNC(Z10/2)=0,Z10,""))</f>
        <v>20</v>
      </c>
      <c r="BP10" s="2">
        <f t="shared" ref="BP10:BP22" si="64">IF(AA10="","",IF((AA10/2)-TRUNC(AA10/2)=0,AA10,""))</f>
        <v>10</v>
      </c>
      <c r="BQ10" s="2" t="str">
        <f t="shared" ref="BQ10:BQ22" si="65">IF(R10="","",IF(BG10="",R10,""))</f>
        <v/>
      </c>
      <c r="BR10" s="2" t="str">
        <f t="shared" ref="BR10:BR22" si="66">IF(S10="","",IF(BH10="",S10,""))</f>
        <v/>
      </c>
      <c r="BS10" s="2" t="str">
        <f t="shared" ref="BS10:BS22" si="67">IF(T10="","",IF(BI10="",T10,""))</f>
        <v/>
      </c>
      <c r="BT10" s="2" t="str">
        <f t="shared" ref="BT10:BT22" si="68">IF(U10="","",IF(BJ10="",U10,""))</f>
        <v/>
      </c>
      <c r="BU10" s="2" t="str">
        <f t="shared" ref="BU10:BU22" si="69">IF(V10="","",IF(BK10="",V10,""))</f>
        <v/>
      </c>
      <c r="BV10" s="2" t="str">
        <f t="shared" ref="BV10:BV22" si="70">IF(W10="","",IF(BL10="",W10,""))</f>
        <v/>
      </c>
      <c r="BW10" s="2" t="str">
        <f t="shared" ref="BW10:BW22" si="71">IF(X10="","",IF(BM10="",X10,""))</f>
        <v/>
      </c>
      <c r="BX10" s="2" t="str">
        <f t="shared" ref="BX10:BX22" si="72">IF(Y10="","",IF(BN10="",Y10,""))</f>
        <v/>
      </c>
      <c r="BY10" s="2" t="str">
        <f t="shared" ref="BY10:BY22" si="73">IF(Z10="","",IF(BO10="",Z10,""))</f>
        <v/>
      </c>
      <c r="BZ10" s="2" t="str">
        <f t="shared" ref="BZ10:BZ22" si="74">IF(AA10="","",IF(BP10="",AA10,""))</f>
        <v/>
      </c>
      <c r="CA10" s="2" t="str">
        <f t="shared" si="12"/>
        <v/>
      </c>
      <c r="CB10" s="2" t="str">
        <f t="shared" si="13"/>
        <v/>
      </c>
      <c r="CC10" s="2" t="str">
        <f t="shared" si="14"/>
        <v/>
      </c>
      <c r="CD10" s="2">
        <f t="shared" si="15"/>
        <v>30</v>
      </c>
      <c r="CE10" s="2">
        <f t="shared" si="16"/>
        <v>40</v>
      </c>
      <c r="CF10" s="2">
        <f t="shared" si="17"/>
        <v>50</v>
      </c>
      <c r="CG10" s="2">
        <f t="shared" si="18"/>
        <v>40</v>
      </c>
      <c r="CH10" s="2">
        <f t="shared" si="19"/>
        <v>30</v>
      </c>
      <c r="CI10" s="2" t="str">
        <f t="shared" si="20"/>
        <v/>
      </c>
      <c r="CJ10" s="18" t="str">
        <f t="shared" si="21"/>
        <v/>
      </c>
    </row>
    <row r="11" spans="2:88">
      <c r="B11" s="3">
        <f>AVERAGE(R11:AA11)</f>
        <v>4.5999999999999996</v>
      </c>
      <c r="C11" s="8" t="str">
        <f t="shared" si="22"/>
        <v>-15,-3,7,14,20</v>
      </c>
      <c r="D11" s="7">
        <v>2</v>
      </c>
      <c r="E11" s="7">
        <v>5</v>
      </c>
      <c r="F11" s="39" t="str">
        <f t="shared" si="0"/>
        <v>-15;-3;7;14;20</v>
      </c>
      <c r="G11" s="40" t="str">
        <f t="shared" si="1"/>
        <v>-15:1;-3:1;7:1;14:1;20:1</v>
      </c>
      <c r="H11" s="40">
        <f t="shared" si="23"/>
        <v>-15</v>
      </c>
      <c r="I11" s="40">
        <f t="shared" si="24"/>
        <v>20</v>
      </c>
      <c r="J11" s="40">
        <f>IF(B11&lt;0,TRUNC(B11)-1,IF(B11=0,0,TRUNC(B11)))</f>
        <v>4</v>
      </c>
      <c r="K11" s="40" t="str">
        <f t="shared" si="2"/>
        <v>-15;-3;7;14;20</v>
      </c>
      <c r="L11" s="40" t="str">
        <f t="shared" si="3"/>
        <v>14;20</v>
      </c>
      <c r="M11" s="62" t="str">
        <f t="shared" si="4"/>
        <v>-15;-3;7</v>
      </c>
      <c r="N11" s="40" t="str">
        <f t="shared" si="25"/>
        <v>10-14:[14];-15--11:[-15];20-24:[20];-5--1:[-3];5-9:[7]</v>
      </c>
      <c r="O11" s="65">
        <f>TRUNC(MEDIAN(R11:AA11))</f>
        <v>7</v>
      </c>
      <c r="P11" s="41" t="s">
        <v>25</v>
      </c>
      <c r="Q11" s="42" t="str">
        <f t="shared" si="5"/>
        <v>7;14;20</v>
      </c>
      <c r="R11" s="57">
        <v>-15</v>
      </c>
      <c r="S11" s="58">
        <v>-3</v>
      </c>
      <c r="T11" s="58">
        <v>7</v>
      </c>
      <c r="U11" s="58">
        <v>14</v>
      </c>
      <c r="V11" s="58">
        <v>20</v>
      </c>
      <c r="W11" s="58"/>
      <c r="X11" s="58"/>
      <c r="Y11" s="58"/>
      <c r="Z11" s="58"/>
      <c r="AA11" s="58"/>
      <c r="AB11" s="1">
        <f t="shared" si="6"/>
        <v>1</v>
      </c>
      <c r="AC11" s="1">
        <f t="shared" si="26"/>
        <v>1</v>
      </c>
      <c r="AD11" s="1">
        <f t="shared" si="27"/>
        <v>1</v>
      </c>
      <c r="AE11" s="1">
        <f t="shared" si="28"/>
        <v>1</v>
      </c>
      <c r="AF11" s="1">
        <f t="shared" si="29"/>
        <v>1</v>
      </c>
      <c r="AG11" s="1" t="str">
        <f t="shared" si="30"/>
        <v/>
      </c>
      <c r="AH11" s="1" t="str">
        <f t="shared" si="31"/>
        <v/>
      </c>
      <c r="AI11" s="1" t="str">
        <f t="shared" si="32"/>
        <v/>
      </c>
      <c r="AJ11" s="1" t="str">
        <f t="shared" si="33"/>
        <v/>
      </c>
      <c r="AK11" s="4" t="str">
        <f t="shared" si="34"/>
        <v/>
      </c>
      <c r="AL11" s="29">
        <f t="shared" si="35"/>
        <v>1</v>
      </c>
      <c r="AM11" s="25">
        <f t="shared" si="36"/>
        <v>-15</v>
      </c>
      <c r="AN11" s="1">
        <f t="shared" si="37"/>
        <v>-3</v>
      </c>
      <c r="AO11" s="1">
        <f t="shared" si="38"/>
        <v>7</v>
      </c>
      <c r="AP11" s="1">
        <f t="shared" si="39"/>
        <v>14</v>
      </c>
      <c r="AQ11" s="1">
        <f t="shared" si="40"/>
        <v>20</v>
      </c>
      <c r="AR11" s="1" t="str">
        <f t="shared" si="41"/>
        <v/>
      </c>
      <c r="AS11" s="1" t="str">
        <f t="shared" si="42"/>
        <v/>
      </c>
      <c r="AT11" s="1" t="str">
        <f t="shared" si="43"/>
        <v/>
      </c>
      <c r="AU11" s="1" t="str">
        <f t="shared" si="44"/>
        <v/>
      </c>
      <c r="AV11" s="1" t="str">
        <f t="shared" si="45"/>
        <v/>
      </c>
      <c r="AW11" s="1" t="str">
        <f t="shared" si="46"/>
        <v>-15:1</v>
      </c>
      <c r="AX11" s="1" t="str">
        <f t="shared" si="47"/>
        <v>-3:1</v>
      </c>
      <c r="AY11" s="1" t="str">
        <f t="shared" si="48"/>
        <v>7:1</v>
      </c>
      <c r="AZ11" s="1" t="str">
        <f t="shared" si="49"/>
        <v>14:1</v>
      </c>
      <c r="BA11" s="1" t="str">
        <f t="shared" si="50"/>
        <v>20:1</v>
      </c>
      <c r="BB11" s="1" t="str">
        <f t="shared" si="51"/>
        <v/>
      </c>
      <c r="BC11" s="1" t="str">
        <f t="shared" si="52"/>
        <v/>
      </c>
      <c r="BD11" s="1" t="str">
        <f t="shared" si="53"/>
        <v/>
      </c>
      <c r="BE11" s="1" t="str">
        <f t="shared" si="54"/>
        <v/>
      </c>
      <c r="BF11" s="1"/>
      <c r="BG11" s="2" t="str">
        <f t="shared" si="55"/>
        <v/>
      </c>
      <c r="BH11" s="2" t="str">
        <f t="shared" si="56"/>
        <v/>
      </c>
      <c r="BI11" s="2" t="str">
        <f t="shared" si="57"/>
        <v/>
      </c>
      <c r="BJ11" s="2">
        <f t="shared" si="58"/>
        <v>14</v>
      </c>
      <c r="BK11" s="2">
        <f t="shared" si="59"/>
        <v>20</v>
      </c>
      <c r="BL11" s="2" t="str">
        <f t="shared" si="60"/>
        <v/>
      </c>
      <c r="BM11" s="2" t="str">
        <f t="shared" si="61"/>
        <v/>
      </c>
      <c r="BN11" s="2" t="str">
        <f t="shared" si="62"/>
        <v/>
      </c>
      <c r="BO11" s="2" t="str">
        <f t="shared" si="63"/>
        <v/>
      </c>
      <c r="BP11" s="2" t="str">
        <f t="shared" si="64"/>
        <v/>
      </c>
      <c r="BQ11" s="2">
        <f t="shared" si="65"/>
        <v>-15</v>
      </c>
      <c r="BR11" s="2">
        <f t="shared" si="66"/>
        <v>-3</v>
      </c>
      <c r="BS11" s="2">
        <f t="shared" si="67"/>
        <v>7</v>
      </c>
      <c r="BT11" s="2" t="str">
        <f t="shared" si="68"/>
        <v/>
      </c>
      <c r="BU11" s="2" t="str">
        <f t="shared" si="69"/>
        <v/>
      </c>
      <c r="BV11" s="2" t="str">
        <f t="shared" si="70"/>
        <v/>
      </c>
      <c r="BW11" s="2" t="str">
        <f t="shared" si="71"/>
        <v/>
      </c>
      <c r="BX11" s="2" t="str">
        <f t="shared" si="72"/>
        <v/>
      </c>
      <c r="BY11" s="2" t="str">
        <f t="shared" si="73"/>
        <v/>
      </c>
      <c r="BZ11" s="2" t="str">
        <f t="shared" si="74"/>
        <v/>
      </c>
      <c r="CA11" s="2" t="str">
        <f t="shared" si="12"/>
        <v/>
      </c>
      <c r="CB11" s="2" t="str">
        <f t="shared" si="13"/>
        <v/>
      </c>
      <c r="CC11" s="2">
        <f t="shared" si="14"/>
        <v>7</v>
      </c>
      <c r="CD11" s="2">
        <f t="shared" si="15"/>
        <v>14</v>
      </c>
      <c r="CE11" s="2">
        <f t="shared" si="16"/>
        <v>20</v>
      </c>
      <c r="CF11" s="2" t="str">
        <f t="shared" si="17"/>
        <v/>
      </c>
      <c r="CG11" s="2" t="str">
        <f t="shared" si="18"/>
        <v/>
      </c>
      <c r="CH11" s="2" t="str">
        <f t="shared" si="19"/>
        <v/>
      </c>
      <c r="CI11" s="2" t="str">
        <f t="shared" si="20"/>
        <v/>
      </c>
      <c r="CJ11" s="18" t="str">
        <f t="shared" si="21"/>
        <v/>
      </c>
    </row>
    <row r="12" spans="2:88">
      <c r="B12" s="3">
        <f t="shared" ref="B12:B22" si="75">AVERAGE(R12:AA12)</f>
        <v>5</v>
      </c>
      <c r="C12" s="8" t="str">
        <f t="shared" si="22"/>
        <v>5</v>
      </c>
      <c r="D12" s="7">
        <v>3</v>
      </c>
      <c r="E12" s="7">
        <v>10</v>
      </c>
      <c r="F12" s="39" t="str">
        <f t="shared" si="0"/>
        <v>5;5;5;5</v>
      </c>
      <c r="G12" s="40" t="str">
        <f t="shared" si="1"/>
        <v>5:4</v>
      </c>
      <c r="H12" s="40">
        <f t="shared" si="23"/>
        <v>5</v>
      </c>
      <c r="I12" s="40">
        <f t="shared" si="24"/>
        <v>5</v>
      </c>
      <c r="J12" s="40">
        <f>IF(B12&lt;0,TRUNC(B12)-1,IF(B12=0,0,TRUNC(B12)))</f>
        <v>5</v>
      </c>
      <c r="K12" s="40" t="str">
        <f t="shared" si="2"/>
        <v>5</v>
      </c>
      <c r="L12" s="40" t="str">
        <f t="shared" si="3"/>
        <v/>
      </c>
      <c r="M12" s="62" t="str">
        <f t="shared" si="4"/>
        <v>5;5;5;5</v>
      </c>
      <c r="N12" s="40" t="str">
        <f t="shared" si="25"/>
        <v>0-9:[5;5;5;5]</v>
      </c>
      <c r="O12" s="65">
        <f>TRUNC(MEDIAN(R12:AA12))</f>
        <v>5</v>
      </c>
      <c r="P12" s="41" t="s">
        <v>18</v>
      </c>
      <c r="Q12" s="42" t="str">
        <f t="shared" si="5"/>
        <v>5;5;5;5</v>
      </c>
      <c r="R12" s="57">
        <v>5</v>
      </c>
      <c r="S12" s="58">
        <v>5</v>
      </c>
      <c r="T12" s="58">
        <v>5</v>
      </c>
      <c r="U12" s="58">
        <v>5</v>
      </c>
      <c r="V12" s="58"/>
      <c r="W12" s="58"/>
      <c r="X12" s="58"/>
      <c r="Y12" s="58"/>
      <c r="Z12" s="58"/>
      <c r="AA12" s="58"/>
      <c r="AB12" s="1">
        <f t="shared" si="6"/>
        <v>4</v>
      </c>
      <c r="AC12" s="1">
        <f t="shared" si="26"/>
        <v>4</v>
      </c>
      <c r="AD12" s="1">
        <f t="shared" si="27"/>
        <v>4</v>
      </c>
      <c r="AE12" s="1">
        <f t="shared" si="28"/>
        <v>4</v>
      </c>
      <c r="AF12" s="1" t="str">
        <f t="shared" si="29"/>
        <v/>
      </c>
      <c r="AG12" s="1" t="str">
        <f t="shared" si="30"/>
        <v/>
      </c>
      <c r="AH12" s="1" t="str">
        <f t="shared" si="31"/>
        <v/>
      </c>
      <c r="AI12" s="1" t="str">
        <f t="shared" si="32"/>
        <v/>
      </c>
      <c r="AJ12" s="1" t="str">
        <f t="shared" si="33"/>
        <v/>
      </c>
      <c r="AK12" s="4" t="str">
        <f t="shared" si="34"/>
        <v/>
      </c>
      <c r="AL12" s="29">
        <f t="shared" si="35"/>
        <v>4</v>
      </c>
      <c r="AM12" s="25">
        <f t="shared" si="36"/>
        <v>5</v>
      </c>
      <c r="AN12" s="1">
        <f t="shared" si="37"/>
        <v>5</v>
      </c>
      <c r="AO12" s="1">
        <f t="shared" si="38"/>
        <v>5</v>
      </c>
      <c r="AP12" s="1">
        <f t="shared" si="39"/>
        <v>5</v>
      </c>
      <c r="AQ12" s="1" t="str">
        <f t="shared" si="40"/>
        <v/>
      </c>
      <c r="AR12" s="1" t="str">
        <f t="shared" si="41"/>
        <v/>
      </c>
      <c r="AS12" s="1" t="str">
        <f t="shared" si="42"/>
        <v/>
      </c>
      <c r="AT12" s="1" t="str">
        <f t="shared" si="43"/>
        <v/>
      </c>
      <c r="AU12" s="1" t="str">
        <f t="shared" si="44"/>
        <v/>
      </c>
      <c r="AV12" s="1" t="str">
        <f t="shared" si="45"/>
        <v/>
      </c>
      <c r="AW12" s="1" t="str">
        <f t="shared" si="46"/>
        <v>5:4</v>
      </c>
      <c r="AX12" s="1" t="str">
        <f t="shared" si="47"/>
        <v>5:4</v>
      </c>
      <c r="AY12" s="1" t="str">
        <f t="shared" si="48"/>
        <v>5:4</v>
      </c>
      <c r="AZ12" s="1" t="str">
        <f t="shared" si="49"/>
        <v>5:4</v>
      </c>
      <c r="BA12" s="1" t="str">
        <f t="shared" si="50"/>
        <v/>
      </c>
      <c r="BB12" s="1" t="str">
        <f t="shared" si="51"/>
        <v/>
      </c>
      <c r="BC12" s="1" t="str">
        <f t="shared" si="52"/>
        <v/>
      </c>
      <c r="BD12" s="1" t="str">
        <f t="shared" si="53"/>
        <v/>
      </c>
      <c r="BE12" s="1" t="str">
        <f t="shared" si="54"/>
        <v/>
      </c>
      <c r="BF12" s="1"/>
      <c r="BG12" s="2" t="str">
        <f t="shared" si="55"/>
        <v/>
      </c>
      <c r="BH12" s="2" t="str">
        <f t="shared" si="56"/>
        <v/>
      </c>
      <c r="BI12" s="2" t="str">
        <f t="shared" si="57"/>
        <v/>
      </c>
      <c r="BJ12" s="2" t="str">
        <f t="shared" si="58"/>
        <v/>
      </c>
      <c r="BK12" s="2" t="str">
        <f t="shared" si="59"/>
        <v/>
      </c>
      <c r="BL12" s="2" t="str">
        <f t="shared" si="60"/>
        <v/>
      </c>
      <c r="BM12" s="2" t="str">
        <f t="shared" si="61"/>
        <v/>
      </c>
      <c r="BN12" s="2" t="str">
        <f t="shared" si="62"/>
        <v/>
      </c>
      <c r="BO12" s="2" t="str">
        <f t="shared" si="63"/>
        <v/>
      </c>
      <c r="BP12" s="2" t="str">
        <f t="shared" si="64"/>
        <v/>
      </c>
      <c r="BQ12" s="2">
        <f t="shared" si="65"/>
        <v>5</v>
      </c>
      <c r="BR12" s="2">
        <f t="shared" si="66"/>
        <v>5</v>
      </c>
      <c r="BS12" s="2">
        <f t="shared" si="67"/>
        <v>5</v>
      </c>
      <c r="BT12" s="2">
        <f t="shared" si="68"/>
        <v>5</v>
      </c>
      <c r="BU12" s="2" t="str">
        <f t="shared" si="69"/>
        <v/>
      </c>
      <c r="BV12" s="2" t="str">
        <f t="shared" si="70"/>
        <v/>
      </c>
      <c r="BW12" s="2" t="str">
        <f t="shared" si="71"/>
        <v/>
      </c>
      <c r="BX12" s="2" t="str">
        <f t="shared" si="72"/>
        <v/>
      </c>
      <c r="BY12" s="2" t="str">
        <f t="shared" si="73"/>
        <v/>
      </c>
      <c r="BZ12" s="2" t="str">
        <f t="shared" si="74"/>
        <v/>
      </c>
      <c r="CA12" s="2">
        <f t="shared" si="12"/>
        <v>5</v>
      </c>
      <c r="CB12" s="2">
        <f t="shared" si="13"/>
        <v>5</v>
      </c>
      <c r="CC12" s="2">
        <f t="shared" si="14"/>
        <v>5</v>
      </c>
      <c r="CD12" s="2">
        <f t="shared" si="15"/>
        <v>5</v>
      </c>
      <c r="CE12" s="2" t="str">
        <f t="shared" si="16"/>
        <v/>
      </c>
      <c r="CF12" s="2" t="str">
        <f t="shared" si="17"/>
        <v/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18" t="str">
        <f t="shared" si="21"/>
        <v/>
      </c>
    </row>
    <row r="13" spans="2:88">
      <c r="B13" s="3">
        <v>0</v>
      </c>
      <c r="C13" s="8" t="str">
        <f t="shared" si="22"/>
        <v/>
      </c>
      <c r="D13" s="7">
        <v>4</v>
      </c>
      <c r="E13" s="7"/>
      <c r="F13" s="39" t="str">
        <f t="shared" si="0"/>
        <v/>
      </c>
      <c r="G13" s="40" t="str">
        <f t="shared" si="1"/>
        <v/>
      </c>
      <c r="H13" s="40">
        <f t="shared" si="23"/>
        <v>0</v>
      </c>
      <c r="I13" s="40">
        <f t="shared" si="24"/>
        <v>0</v>
      </c>
      <c r="J13" s="40">
        <v>0</v>
      </c>
      <c r="K13" s="40" t="str">
        <f t="shared" si="2"/>
        <v/>
      </c>
      <c r="L13" s="40" t="str">
        <f t="shared" si="3"/>
        <v/>
      </c>
      <c r="M13" s="62" t="str">
        <f t="shared" si="4"/>
        <v/>
      </c>
      <c r="N13" s="40" t="str">
        <f t="shared" si="25"/>
        <v/>
      </c>
      <c r="O13" s="65">
        <v>0</v>
      </c>
      <c r="P13" s="41" t="s">
        <v>19</v>
      </c>
      <c r="Q13" s="42" t="str">
        <f t="shared" si="5"/>
        <v/>
      </c>
      <c r="R13" s="57"/>
      <c r="S13" s="58"/>
      <c r="T13" s="58"/>
      <c r="U13" s="58"/>
      <c r="V13" s="58"/>
      <c r="W13" s="58"/>
      <c r="X13" s="58"/>
      <c r="Y13" s="58"/>
      <c r="Z13" s="58"/>
      <c r="AA13" s="58"/>
      <c r="AB13" s="1" t="str">
        <f t="shared" si="6"/>
        <v/>
      </c>
      <c r="AC13" s="1" t="str">
        <f t="shared" si="26"/>
        <v/>
      </c>
      <c r="AD13" s="1" t="str">
        <f t="shared" si="27"/>
        <v/>
      </c>
      <c r="AE13" s="1" t="str">
        <f t="shared" si="28"/>
        <v/>
      </c>
      <c r="AF13" s="1" t="str">
        <f t="shared" si="29"/>
        <v/>
      </c>
      <c r="AG13" s="1" t="str">
        <f t="shared" si="30"/>
        <v/>
      </c>
      <c r="AH13" s="1" t="str">
        <f t="shared" si="31"/>
        <v/>
      </c>
      <c r="AI13" s="1" t="str">
        <f t="shared" si="32"/>
        <v/>
      </c>
      <c r="AJ13" s="1" t="str">
        <f t="shared" si="33"/>
        <v/>
      </c>
      <c r="AK13" s="4" t="str">
        <f t="shared" si="34"/>
        <v/>
      </c>
      <c r="AL13" s="29">
        <f t="shared" si="35"/>
        <v>0</v>
      </c>
      <c r="AM13" s="25" t="str">
        <f t="shared" si="36"/>
        <v/>
      </c>
      <c r="AN13" s="1" t="str">
        <f t="shared" si="37"/>
        <v/>
      </c>
      <c r="AO13" s="1" t="str">
        <f t="shared" si="38"/>
        <v/>
      </c>
      <c r="AP13" s="1" t="str">
        <f t="shared" si="39"/>
        <v/>
      </c>
      <c r="AQ13" s="1" t="str">
        <f t="shared" si="40"/>
        <v/>
      </c>
      <c r="AR13" s="1" t="str">
        <f t="shared" si="41"/>
        <v/>
      </c>
      <c r="AS13" s="1" t="str">
        <f t="shared" si="42"/>
        <v/>
      </c>
      <c r="AT13" s="1" t="str">
        <f t="shared" si="43"/>
        <v/>
      </c>
      <c r="AU13" s="1" t="str">
        <f t="shared" si="44"/>
        <v/>
      </c>
      <c r="AV13" s="1" t="str">
        <f t="shared" si="45"/>
        <v/>
      </c>
      <c r="AW13" s="1" t="str">
        <f t="shared" si="46"/>
        <v/>
      </c>
      <c r="AX13" s="1" t="str">
        <f t="shared" si="47"/>
        <v/>
      </c>
      <c r="AY13" s="1" t="str">
        <f t="shared" si="48"/>
        <v/>
      </c>
      <c r="AZ13" s="1" t="str">
        <f t="shared" si="49"/>
        <v/>
      </c>
      <c r="BA13" s="1" t="str">
        <f t="shared" si="50"/>
        <v/>
      </c>
      <c r="BB13" s="1" t="str">
        <f t="shared" si="51"/>
        <v/>
      </c>
      <c r="BC13" s="1" t="str">
        <f t="shared" si="52"/>
        <v/>
      </c>
      <c r="BD13" s="1" t="str">
        <f t="shared" si="53"/>
        <v/>
      </c>
      <c r="BE13" s="1" t="str">
        <f t="shared" si="54"/>
        <v/>
      </c>
      <c r="BF13" s="1"/>
      <c r="BG13" s="2" t="str">
        <f t="shared" si="55"/>
        <v/>
      </c>
      <c r="BH13" s="2" t="str">
        <f t="shared" si="56"/>
        <v/>
      </c>
      <c r="BI13" s="2" t="str">
        <f t="shared" si="57"/>
        <v/>
      </c>
      <c r="BJ13" s="2" t="str">
        <f t="shared" si="58"/>
        <v/>
      </c>
      <c r="BK13" s="2" t="str">
        <f t="shared" si="59"/>
        <v/>
      </c>
      <c r="BL13" s="2" t="str">
        <f t="shared" si="60"/>
        <v/>
      </c>
      <c r="BM13" s="2" t="str">
        <f t="shared" si="61"/>
        <v/>
      </c>
      <c r="BN13" s="2" t="str">
        <f t="shared" si="62"/>
        <v/>
      </c>
      <c r="BO13" s="2" t="str">
        <f t="shared" si="63"/>
        <v/>
      </c>
      <c r="BP13" s="2" t="str">
        <f t="shared" si="64"/>
        <v/>
      </c>
      <c r="BQ13" s="2" t="str">
        <f t="shared" si="65"/>
        <v/>
      </c>
      <c r="BR13" s="2" t="str">
        <f t="shared" si="66"/>
        <v/>
      </c>
      <c r="BS13" s="2" t="str">
        <f t="shared" si="67"/>
        <v/>
      </c>
      <c r="BT13" s="2" t="str">
        <f t="shared" si="68"/>
        <v/>
      </c>
      <c r="BU13" s="2" t="str">
        <f t="shared" si="69"/>
        <v/>
      </c>
      <c r="BV13" s="2" t="str">
        <f t="shared" si="70"/>
        <v/>
      </c>
      <c r="BW13" s="2" t="str">
        <f t="shared" si="71"/>
        <v/>
      </c>
      <c r="BX13" s="2" t="str">
        <f t="shared" si="72"/>
        <v/>
      </c>
      <c r="BY13" s="2" t="str">
        <f t="shared" si="73"/>
        <v/>
      </c>
      <c r="BZ13" s="2" t="str">
        <f t="shared" si="74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/>
      </c>
      <c r="CF13" s="2" t="str">
        <f t="shared" si="17"/>
        <v/>
      </c>
      <c r="CG13" s="2" t="str">
        <f t="shared" si="18"/>
        <v/>
      </c>
      <c r="CH13" s="2" t="str">
        <f t="shared" si="19"/>
        <v/>
      </c>
      <c r="CI13" s="2" t="str">
        <f t="shared" si="20"/>
        <v/>
      </c>
      <c r="CJ13" s="18" t="str">
        <f t="shared" si="21"/>
        <v/>
      </c>
    </row>
    <row r="14" spans="2:88">
      <c r="B14" s="3">
        <f t="shared" si="75"/>
        <v>11.6</v>
      </c>
      <c r="C14" s="8" t="str">
        <f t="shared" si="22"/>
        <v>1,5,12,15,25</v>
      </c>
      <c r="D14" s="7">
        <v>5</v>
      </c>
      <c r="E14" s="7">
        <v>10</v>
      </c>
      <c r="F14" s="39" t="str">
        <f t="shared" si="0"/>
        <v>1;5;12;15;25</v>
      </c>
      <c r="G14" s="40" t="str">
        <f t="shared" si="1"/>
        <v>1:1;5:1;12:1;15:1;25:1</v>
      </c>
      <c r="H14" s="40">
        <f t="shared" si="23"/>
        <v>1</v>
      </c>
      <c r="I14" s="40">
        <f t="shared" si="24"/>
        <v>25</v>
      </c>
      <c r="J14" s="40">
        <f t="shared" ref="J14:J22" si="76">IF(B14&lt;0,TRUNC(B14)-1,IF(B14=0,0,TRUNC(B14)))</f>
        <v>11</v>
      </c>
      <c r="K14" s="40" t="str">
        <f t="shared" si="2"/>
        <v>1;5;12;15;25</v>
      </c>
      <c r="L14" s="40" t="str">
        <f t="shared" si="3"/>
        <v>12</v>
      </c>
      <c r="M14" s="62" t="str">
        <f t="shared" si="4"/>
        <v>1;5;15;25</v>
      </c>
      <c r="N14" s="40" t="str">
        <f t="shared" si="25"/>
        <v>0-9:[1;5];10-19:[12;15];20-29:[25]</v>
      </c>
      <c r="O14" s="65">
        <f t="shared" ref="O14:O22" si="77">TRUNC(MEDIAN(R14:AA14))</f>
        <v>12</v>
      </c>
      <c r="P14" s="41" t="s">
        <v>26</v>
      </c>
      <c r="Q14" s="42" t="str">
        <f t="shared" si="5"/>
        <v>12;15;25</v>
      </c>
      <c r="R14" s="57">
        <v>1</v>
      </c>
      <c r="S14" s="58">
        <v>5</v>
      </c>
      <c r="T14" s="58">
        <v>12</v>
      </c>
      <c r="U14" s="58">
        <v>15</v>
      </c>
      <c r="V14" s="58">
        <v>25</v>
      </c>
      <c r="W14" s="58"/>
      <c r="X14" s="58"/>
      <c r="Y14" s="58"/>
      <c r="Z14" s="58"/>
      <c r="AA14" s="58"/>
      <c r="AB14" s="1">
        <f t="shared" si="6"/>
        <v>1</v>
      </c>
      <c r="AC14" s="1">
        <f t="shared" si="26"/>
        <v>1</v>
      </c>
      <c r="AD14" s="1">
        <f t="shared" si="27"/>
        <v>1</v>
      </c>
      <c r="AE14" s="1">
        <f t="shared" si="28"/>
        <v>1</v>
      </c>
      <c r="AF14" s="1">
        <f t="shared" si="29"/>
        <v>1</v>
      </c>
      <c r="AG14" s="1" t="str">
        <f t="shared" si="30"/>
        <v/>
      </c>
      <c r="AH14" s="1" t="str">
        <f t="shared" si="31"/>
        <v/>
      </c>
      <c r="AI14" s="1" t="str">
        <f t="shared" si="32"/>
        <v/>
      </c>
      <c r="AJ14" s="1" t="str">
        <f t="shared" si="33"/>
        <v/>
      </c>
      <c r="AK14" s="4" t="str">
        <f t="shared" si="34"/>
        <v/>
      </c>
      <c r="AL14" s="29">
        <f t="shared" si="35"/>
        <v>1</v>
      </c>
      <c r="AM14" s="25">
        <f t="shared" si="36"/>
        <v>1</v>
      </c>
      <c r="AN14" s="1">
        <f t="shared" si="37"/>
        <v>5</v>
      </c>
      <c r="AO14" s="1">
        <f t="shared" si="38"/>
        <v>12</v>
      </c>
      <c r="AP14" s="1">
        <f t="shared" si="39"/>
        <v>15</v>
      </c>
      <c r="AQ14" s="1">
        <f t="shared" si="40"/>
        <v>25</v>
      </c>
      <c r="AR14" s="1" t="str">
        <f t="shared" si="41"/>
        <v/>
      </c>
      <c r="AS14" s="1" t="str">
        <f t="shared" si="42"/>
        <v/>
      </c>
      <c r="AT14" s="1" t="str">
        <f t="shared" si="43"/>
        <v/>
      </c>
      <c r="AU14" s="1" t="str">
        <f t="shared" si="44"/>
        <v/>
      </c>
      <c r="AV14" s="1" t="str">
        <f t="shared" si="45"/>
        <v/>
      </c>
      <c r="AW14" s="1" t="str">
        <f t="shared" si="46"/>
        <v>1:1</v>
      </c>
      <c r="AX14" s="1" t="str">
        <f t="shared" si="47"/>
        <v>5:1</v>
      </c>
      <c r="AY14" s="1" t="str">
        <f t="shared" si="48"/>
        <v>12:1</v>
      </c>
      <c r="AZ14" s="1" t="str">
        <f t="shared" si="49"/>
        <v>15:1</v>
      </c>
      <c r="BA14" s="1" t="str">
        <f t="shared" si="50"/>
        <v>25:1</v>
      </c>
      <c r="BB14" s="1" t="str">
        <f t="shared" si="51"/>
        <v/>
      </c>
      <c r="BC14" s="1" t="str">
        <f t="shared" si="52"/>
        <v/>
      </c>
      <c r="BD14" s="1" t="str">
        <f t="shared" si="53"/>
        <v/>
      </c>
      <c r="BE14" s="1" t="str">
        <f t="shared" si="54"/>
        <v/>
      </c>
      <c r="BF14" s="1"/>
      <c r="BG14" s="2" t="str">
        <f t="shared" si="55"/>
        <v/>
      </c>
      <c r="BH14" s="2" t="str">
        <f t="shared" si="56"/>
        <v/>
      </c>
      <c r="BI14" s="2">
        <f t="shared" si="57"/>
        <v>12</v>
      </c>
      <c r="BJ14" s="2" t="str">
        <f t="shared" si="58"/>
        <v/>
      </c>
      <c r="BK14" s="2" t="str">
        <f t="shared" si="59"/>
        <v/>
      </c>
      <c r="BL14" s="2" t="str">
        <f t="shared" si="60"/>
        <v/>
      </c>
      <c r="BM14" s="2" t="str">
        <f t="shared" si="61"/>
        <v/>
      </c>
      <c r="BN14" s="2" t="str">
        <f t="shared" si="62"/>
        <v/>
      </c>
      <c r="BO14" s="2" t="str">
        <f t="shared" si="63"/>
        <v/>
      </c>
      <c r="BP14" s="2" t="str">
        <f t="shared" si="64"/>
        <v/>
      </c>
      <c r="BQ14" s="2">
        <f t="shared" si="65"/>
        <v>1</v>
      </c>
      <c r="BR14" s="2">
        <f t="shared" si="66"/>
        <v>5</v>
      </c>
      <c r="BS14" s="2" t="str">
        <f t="shared" si="67"/>
        <v/>
      </c>
      <c r="BT14" s="2">
        <f t="shared" si="68"/>
        <v>15</v>
      </c>
      <c r="BU14" s="2">
        <f t="shared" si="69"/>
        <v>25</v>
      </c>
      <c r="BV14" s="2" t="str">
        <f t="shared" si="70"/>
        <v/>
      </c>
      <c r="BW14" s="2" t="str">
        <f t="shared" si="71"/>
        <v/>
      </c>
      <c r="BX14" s="2" t="str">
        <f t="shared" si="72"/>
        <v/>
      </c>
      <c r="BY14" s="2" t="str">
        <f t="shared" si="73"/>
        <v/>
      </c>
      <c r="BZ14" s="2" t="str">
        <f t="shared" si="74"/>
        <v/>
      </c>
      <c r="CA14" s="2" t="str">
        <f t="shared" si="12"/>
        <v/>
      </c>
      <c r="CB14" s="2" t="str">
        <f t="shared" si="13"/>
        <v/>
      </c>
      <c r="CC14" s="2">
        <f t="shared" si="14"/>
        <v>12</v>
      </c>
      <c r="CD14" s="2">
        <f t="shared" si="15"/>
        <v>15</v>
      </c>
      <c r="CE14" s="2">
        <f t="shared" si="16"/>
        <v>25</v>
      </c>
      <c r="CF14" s="2" t="str">
        <f t="shared" si="17"/>
        <v/>
      </c>
      <c r="CG14" s="2" t="str">
        <f t="shared" si="18"/>
        <v/>
      </c>
      <c r="CH14" s="2" t="str">
        <f t="shared" si="19"/>
        <v/>
      </c>
      <c r="CI14" s="2" t="str">
        <f t="shared" si="20"/>
        <v/>
      </c>
      <c r="CJ14" s="18" t="str">
        <f t="shared" si="21"/>
        <v/>
      </c>
    </row>
    <row r="15" spans="2:88">
      <c r="B15" s="3">
        <f t="shared" si="75"/>
        <v>5.5</v>
      </c>
      <c r="C15" s="8" t="str">
        <f t="shared" si="22"/>
        <v>1,2,3,4,5,6,7,8,9,10</v>
      </c>
      <c r="D15" s="7">
        <v>6</v>
      </c>
      <c r="E15" s="7">
        <v>5</v>
      </c>
      <c r="F15" s="39" t="str">
        <f t="shared" si="0"/>
        <v>1;2;3;4;5;6;7;8;9;10</v>
      </c>
      <c r="G15" s="40" t="str">
        <f t="shared" si="1"/>
        <v>1:1;2:1;3:1;4:1;5:1;6:1;7:1;8:1;9:1</v>
      </c>
      <c r="H15" s="40">
        <f t="shared" si="23"/>
        <v>1</v>
      </c>
      <c r="I15" s="40">
        <f t="shared" si="24"/>
        <v>10</v>
      </c>
      <c r="J15" s="40">
        <f t="shared" si="76"/>
        <v>5</v>
      </c>
      <c r="K15" s="40" t="str">
        <f t="shared" si="2"/>
        <v>1;2;3;4;5;6;7;8;9;10</v>
      </c>
      <c r="L15" s="40" t="str">
        <f t="shared" si="3"/>
        <v>2;4;6;8;10</v>
      </c>
      <c r="M15" s="62" t="str">
        <f t="shared" si="4"/>
        <v>1;3;5;7;9</v>
      </c>
      <c r="N15" s="40" t="str">
        <f t="shared" si="25"/>
        <v>0-4:[1;2;3;4];10-14:[10];5-9:[5;6;7;8;9]</v>
      </c>
      <c r="O15" s="65">
        <f t="shared" si="77"/>
        <v>5</v>
      </c>
      <c r="P15" s="41" t="s">
        <v>27</v>
      </c>
      <c r="Q15" s="42" t="str">
        <f t="shared" si="5"/>
        <v>5;6;7;8;9;10</v>
      </c>
      <c r="R15" s="57">
        <v>1</v>
      </c>
      <c r="S15" s="58">
        <v>2</v>
      </c>
      <c r="T15" s="58">
        <v>3</v>
      </c>
      <c r="U15" s="58">
        <v>4</v>
      </c>
      <c r="V15" s="58">
        <v>5</v>
      </c>
      <c r="W15" s="58">
        <v>6</v>
      </c>
      <c r="X15" s="58">
        <v>7</v>
      </c>
      <c r="Y15" s="58">
        <v>8</v>
      </c>
      <c r="Z15" s="58">
        <v>9</v>
      </c>
      <c r="AA15" s="58">
        <v>10</v>
      </c>
      <c r="AB15" s="1">
        <f t="shared" si="6"/>
        <v>1</v>
      </c>
      <c r="AC15" s="1">
        <f t="shared" si="26"/>
        <v>1</v>
      </c>
      <c r="AD15" s="1">
        <f t="shared" si="27"/>
        <v>1</v>
      </c>
      <c r="AE15" s="1">
        <f t="shared" si="28"/>
        <v>1</v>
      </c>
      <c r="AF15" s="1">
        <f t="shared" si="29"/>
        <v>1</v>
      </c>
      <c r="AG15" s="1">
        <f t="shared" si="30"/>
        <v>1</v>
      </c>
      <c r="AH15" s="1">
        <f t="shared" si="31"/>
        <v>1</v>
      </c>
      <c r="AI15" s="1">
        <f t="shared" si="32"/>
        <v>1</v>
      </c>
      <c r="AJ15" s="1">
        <f t="shared" si="33"/>
        <v>1</v>
      </c>
      <c r="AK15" s="4">
        <f t="shared" si="34"/>
        <v>1</v>
      </c>
      <c r="AL15" s="29">
        <f t="shared" si="35"/>
        <v>1</v>
      </c>
      <c r="AM15" s="25">
        <f t="shared" si="36"/>
        <v>1</v>
      </c>
      <c r="AN15" s="1">
        <f t="shared" si="37"/>
        <v>2</v>
      </c>
      <c r="AO15" s="1">
        <f t="shared" si="38"/>
        <v>3</v>
      </c>
      <c r="AP15" s="1">
        <f t="shared" si="39"/>
        <v>4</v>
      </c>
      <c r="AQ15" s="1">
        <f t="shared" si="40"/>
        <v>5</v>
      </c>
      <c r="AR15" s="1">
        <f t="shared" si="41"/>
        <v>6</v>
      </c>
      <c r="AS15" s="1">
        <f t="shared" si="42"/>
        <v>7</v>
      </c>
      <c r="AT15" s="1">
        <f t="shared" si="43"/>
        <v>8</v>
      </c>
      <c r="AU15" s="1">
        <f t="shared" si="44"/>
        <v>9</v>
      </c>
      <c r="AV15" s="1">
        <f t="shared" si="45"/>
        <v>10</v>
      </c>
      <c r="AW15" s="1" t="str">
        <f t="shared" si="46"/>
        <v>1:1</v>
      </c>
      <c r="AX15" s="1" t="str">
        <f t="shared" si="47"/>
        <v>2:1</v>
      </c>
      <c r="AY15" s="1" t="str">
        <f t="shared" si="48"/>
        <v>3:1</v>
      </c>
      <c r="AZ15" s="1" t="str">
        <f t="shared" si="49"/>
        <v>4:1</v>
      </c>
      <c r="BA15" s="1" t="str">
        <f t="shared" si="50"/>
        <v>5:1</v>
      </c>
      <c r="BB15" s="1" t="str">
        <f t="shared" si="51"/>
        <v>6:1</v>
      </c>
      <c r="BC15" s="1" t="str">
        <f t="shared" si="52"/>
        <v>7:1</v>
      </c>
      <c r="BD15" s="1" t="str">
        <f t="shared" si="53"/>
        <v>8:1</v>
      </c>
      <c r="BE15" s="1" t="str">
        <f t="shared" si="54"/>
        <v>9:1</v>
      </c>
      <c r="BF15" s="1"/>
      <c r="BG15" s="2" t="str">
        <f t="shared" si="55"/>
        <v/>
      </c>
      <c r="BH15" s="2">
        <f t="shared" si="56"/>
        <v>2</v>
      </c>
      <c r="BI15" s="2" t="str">
        <f t="shared" si="57"/>
        <v/>
      </c>
      <c r="BJ15" s="2">
        <f t="shared" si="58"/>
        <v>4</v>
      </c>
      <c r="BK15" s="2" t="str">
        <f t="shared" si="59"/>
        <v/>
      </c>
      <c r="BL15" s="2">
        <f t="shared" si="60"/>
        <v>6</v>
      </c>
      <c r="BM15" s="2" t="str">
        <f t="shared" si="61"/>
        <v/>
      </c>
      <c r="BN15" s="2">
        <f t="shared" si="62"/>
        <v>8</v>
      </c>
      <c r="BO15" s="2" t="str">
        <f t="shared" si="63"/>
        <v/>
      </c>
      <c r="BP15" s="2">
        <f t="shared" si="64"/>
        <v>10</v>
      </c>
      <c r="BQ15" s="2">
        <f t="shared" si="65"/>
        <v>1</v>
      </c>
      <c r="BR15" s="2" t="str">
        <f t="shared" si="66"/>
        <v/>
      </c>
      <c r="BS15" s="2">
        <f t="shared" si="67"/>
        <v>3</v>
      </c>
      <c r="BT15" s="2" t="str">
        <f t="shared" si="68"/>
        <v/>
      </c>
      <c r="BU15" s="2">
        <f t="shared" si="69"/>
        <v>5</v>
      </c>
      <c r="BV15" s="2" t="str">
        <f t="shared" si="70"/>
        <v/>
      </c>
      <c r="BW15" s="2">
        <f t="shared" si="71"/>
        <v>7</v>
      </c>
      <c r="BX15" s="2" t="str">
        <f t="shared" si="72"/>
        <v/>
      </c>
      <c r="BY15" s="2">
        <f t="shared" si="73"/>
        <v>9</v>
      </c>
      <c r="BZ15" s="2" t="str">
        <f t="shared" si="74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/>
      </c>
      <c r="CD15" s="2" t="str">
        <f t="shared" si="15"/>
        <v/>
      </c>
      <c r="CE15" s="2">
        <f t="shared" si="16"/>
        <v>5</v>
      </c>
      <c r="CF15" s="2">
        <f t="shared" si="17"/>
        <v>6</v>
      </c>
      <c r="CG15" s="2">
        <f t="shared" si="18"/>
        <v>7</v>
      </c>
      <c r="CH15" s="2">
        <f t="shared" si="19"/>
        <v>8</v>
      </c>
      <c r="CI15" s="2">
        <f t="shared" si="20"/>
        <v>9</v>
      </c>
      <c r="CJ15" s="18">
        <f t="shared" si="21"/>
        <v>10</v>
      </c>
    </row>
    <row r="16" spans="2:88">
      <c r="B16" s="3">
        <f t="shared" si="75"/>
        <v>10</v>
      </c>
      <c r="C16" s="8" t="str">
        <f t="shared" si="22"/>
        <v>10</v>
      </c>
      <c r="D16" s="7">
        <v>7</v>
      </c>
      <c r="E16" s="7">
        <v>10</v>
      </c>
      <c r="F16" s="39" t="str">
        <f t="shared" si="0"/>
        <v>10</v>
      </c>
      <c r="G16" s="40" t="str">
        <f t="shared" si="1"/>
        <v>10:1</v>
      </c>
      <c r="H16" s="40">
        <f t="shared" si="23"/>
        <v>10</v>
      </c>
      <c r="I16" s="40">
        <f t="shared" si="24"/>
        <v>10</v>
      </c>
      <c r="J16" s="40">
        <f t="shared" si="76"/>
        <v>10</v>
      </c>
      <c r="K16" s="40" t="str">
        <f t="shared" si="2"/>
        <v>10</v>
      </c>
      <c r="L16" s="40" t="str">
        <f t="shared" si="3"/>
        <v>10</v>
      </c>
      <c r="M16" s="62" t="str">
        <f t="shared" si="4"/>
        <v/>
      </c>
      <c r="N16" s="40" t="str">
        <f t="shared" si="25"/>
        <v>10-19:[10]</v>
      </c>
      <c r="O16" s="65">
        <f t="shared" si="77"/>
        <v>10</v>
      </c>
      <c r="P16" s="41" t="s">
        <v>20</v>
      </c>
      <c r="Q16" s="42" t="str">
        <f t="shared" si="5"/>
        <v>10</v>
      </c>
      <c r="R16" s="57">
        <v>10</v>
      </c>
      <c r="S16" s="58"/>
      <c r="T16" s="58"/>
      <c r="U16" s="58"/>
      <c r="V16" s="58"/>
      <c r="W16" s="58"/>
      <c r="X16" s="58"/>
      <c r="Y16" s="58"/>
      <c r="Z16" s="58"/>
      <c r="AA16" s="58"/>
      <c r="AB16" s="1">
        <f t="shared" si="6"/>
        <v>1</v>
      </c>
      <c r="AC16" s="1" t="str">
        <f t="shared" si="26"/>
        <v/>
      </c>
      <c r="AD16" s="1" t="str">
        <f t="shared" si="27"/>
        <v/>
      </c>
      <c r="AE16" s="1" t="str">
        <f t="shared" si="28"/>
        <v/>
      </c>
      <c r="AF16" s="1" t="str">
        <f t="shared" si="29"/>
        <v/>
      </c>
      <c r="AG16" s="1" t="str">
        <f t="shared" si="30"/>
        <v/>
      </c>
      <c r="AH16" s="1" t="str">
        <f t="shared" si="31"/>
        <v/>
      </c>
      <c r="AI16" s="1" t="str">
        <f t="shared" si="32"/>
        <v/>
      </c>
      <c r="AJ16" s="1" t="str">
        <f t="shared" si="33"/>
        <v/>
      </c>
      <c r="AK16" s="4" t="str">
        <f t="shared" si="34"/>
        <v/>
      </c>
      <c r="AL16" s="29">
        <f t="shared" si="35"/>
        <v>1</v>
      </c>
      <c r="AM16" s="25">
        <f t="shared" si="36"/>
        <v>10</v>
      </c>
      <c r="AN16" s="1" t="str">
        <f t="shared" si="37"/>
        <v/>
      </c>
      <c r="AO16" s="1" t="str">
        <f t="shared" si="38"/>
        <v/>
      </c>
      <c r="AP16" s="1" t="str">
        <f t="shared" si="39"/>
        <v/>
      </c>
      <c r="AQ16" s="1" t="str">
        <f t="shared" si="40"/>
        <v/>
      </c>
      <c r="AR16" s="1" t="str">
        <f t="shared" si="41"/>
        <v/>
      </c>
      <c r="AS16" s="1" t="str">
        <f t="shared" si="42"/>
        <v/>
      </c>
      <c r="AT16" s="1" t="str">
        <f t="shared" si="43"/>
        <v/>
      </c>
      <c r="AU16" s="1" t="str">
        <f t="shared" si="44"/>
        <v/>
      </c>
      <c r="AV16" s="1" t="str">
        <f t="shared" si="45"/>
        <v/>
      </c>
      <c r="AW16" s="1" t="str">
        <f t="shared" si="46"/>
        <v>10:1</v>
      </c>
      <c r="AX16" s="1" t="str">
        <f t="shared" si="47"/>
        <v/>
      </c>
      <c r="AY16" s="1" t="str">
        <f t="shared" si="48"/>
        <v/>
      </c>
      <c r="AZ16" s="1" t="str">
        <f t="shared" si="49"/>
        <v/>
      </c>
      <c r="BA16" s="1" t="str">
        <f t="shared" si="50"/>
        <v/>
      </c>
      <c r="BB16" s="1" t="str">
        <f t="shared" si="51"/>
        <v/>
      </c>
      <c r="BC16" s="1" t="str">
        <f t="shared" si="52"/>
        <v/>
      </c>
      <c r="BD16" s="1" t="str">
        <f t="shared" si="53"/>
        <v/>
      </c>
      <c r="BE16" s="1" t="str">
        <f t="shared" si="54"/>
        <v/>
      </c>
      <c r="BF16" s="1"/>
      <c r="BG16" s="2">
        <f t="shared" si="55"/>
        <v>10</v>
      </c>
      <c r="BH16" s="2" t="str">
        <f t="shared" si="56"/>
        <v/>
      </c>
      <c r="BI16" s="2" t="str">
        <f t="shared" si="57"/>
        <v/>
      </c>
      <c r="BJ16" s="2" t="str">
        <f t="shared" si="58"/>
        <v/>
      </c>
      <c r="BK16" s="2" t="str">
        <f t="shared" si="59"/>
        <v/>
      </c>
      <c r="BL16" s="2" t="str">
        <f t="shared" si="60"/>
        <v/>
      </c>
      <c r="BM16" s="2" t="str">
        <f t="shared" si="61"/>
        <v/>
      </c>
      <c r="BN16" s="2" t="str">
        <f t="shared" si="62"/>
        <v/>
      </c>
      <c r="BO16" s="2" t="str">
        <f t="shared" si="63"/>
        <v/>
      </c>
      <c r="BP16" s="2" t="str">
        <f t="shared" si="64"/>
        <v/>
      </c>
      <c r="BQ16" s="2" t="str">
        <f t="shared" si="65"/>
        <v/>
      </c>
      <c r="BR16" s="2" t="str">
        <f t="shared" si="66"/>
        <v/>
      </c>
      <c r="BS16" s="2" t="str">
        <f t="shared" si="67"/>
        <v/>
      </c>
      <c r="BT16" s="2" t="str">
        <f t="shared" si="68"/>
        <v/>
      </c>
      <c r="BU16" s="2" t="str">
        <f t="shared" si="69"/>
        <v/>
      </c>
      <c r="BV16" s="2" t="str">
        <f t="shared" si="70"/>
        <v/>
      </c>
      <c r="BW16" s="2" t="str">
        <f t="shared" si="71"/>
        <v/>
      </c>
      <c r="BX16" s="2" t="str">
        <f t="shared" si="72"/>
        <v/>
      </c>
      <c r="BY16" s="2" t="str">
        <f t="shared" si="73"/>
        <v/>
      </c>
      <c r="BZ16" s="2" t="str">
        <f t="shared" si="74"/>
        <v/>
      </c>
      <c r="CA16" s="2">
        <f t="shared" si="12"/>
        <v>10</v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/>
      </c>
      <c r="CF16" s="2" t="str">
        <f t="shared" si="17"/>
        <v/>
      </c>
      <c r="CG16" s="2" t="str">
        <f t="shared" si="18"/>
        <v/>
      </c>
      <c r="CH16" s="2" t="str">
        <f t="shared" si="19"/>
        <v/>
      </c>
      <c r="CI16" s="2" t="str">
        <f t="shared" si="20"/>
        <v/>
      </c>
      <c r="CJ16" s="18" t="str">
        <f t="shared" si="21"/>
        <v/>
      </c>
    </row>
    <row r="17" spans="2:88">
      <c r="B17" s="3">
        <f t="shared" si="75"/>
        <v>-17.5</v>
      </c>
      <c r="C17" s="8" t="str">
        <f t="shared" si="22"/>
        <v>-10,-20,-30</v>
      </c>
      <c r="D17" s="7">
        <v>8</v>
      </c>
      <c r="E17" s="7">
        <v>10</v>
      </c>
      <c r="F17" s="39" t="str">
        <f t="shared" si="0"/>
        <v>-10;-20;-10;-30</v>
      </c>
      <c r="G17" s="40" t="str">
        <f t="shared" si="1"/>
        <v>-10:2;-20:1;-30:1</v>
      </c>
      <c r="H17" s="40">
        <f t="shared" si="23"/>
        <v>-30</v>
      </c>
      <c r="I17" s="40">
        <f t="shared" si="24"/>
        <v>-10</v>
      </c>
      <c r="J17" s="40">
        <f t="shared" si="76"/>
        <v>-18</v>
      </c>
      <c r="K17" s="40" t="str">
        <f t="shared" si="2"/>
        <v>-10</v>
      </c>
      <c r="L17" s="40" t="str">
        <f t="shared" si="3"/>
        <v>-10;-20;-10;-30</v>
      </c>
      <c r="M17" s="62" t="str">
        <f t="shared" si="4"/>
        <v/>
      </c>
      <c r="N17" s="40" t="str">
        <f t="shared" si="25"/>
        <v>-10--1:[-10;-10];-20--11:[-20];-30--21:[-30]</v>
      </c>
      <c r="O17" s="65">
        <f t="shared" si="77"/>
        <v>-15</v>
      </c>
      <c r="P17" s="43" t="s">
        <v>28</v>
      </c>
      <c r="Q17" s="42" t="str">
        <f t="shared" si="5"/>
        <v>-10;-10</v>
      </c>
      <c r="R17" s="57">
        <v>-10</v>
      </c>
      <c r="S17" s="58">
        <v>-20</v>
      </c>
      <c r="T17" s="58">
        <v>-10</v>
      </c>
      <c r="U17" s="58">
        <v>-30</v>
      </c>
      <c r="V17" s="58"/>
      <c r="W17" s="58"/>
      <c r="X17" s="58"/>
      <c r="Y17" s="58"/>
      <c r="Z17" s="58"/>
      <c r="AA17" s="58"/>
      <c r="AB17" s="1">
        <f t="shared" si="6"/>
        <v>2</v>
      </c>
      <c r="AC17" s="1">
        <f t="shared" si="26"/>
        <v>1</v>
      </c>
      <c r="AD17" s="1">
        <f t="shared" si="27"/>
        <v>2</v>
      </c>
      <c r="AE17" s="1">
        <f t="shared" si="28"/>
        <v>1</v>
      </c>
      <c r="AF17" s="1" t="str">
        <f t="shared" si="29"/>
        <v/>
      </c>
      <c r="AG17" s="1" t="str">
        <f t="shared" si="30"/>
        <v/>
      </c>
      <c r="AH17" s="1" t="str">
        <f t="shared" si="31"/>
        <v/>
      </c>
      <c r="AI17" s="1" t="str">
        <f t="shared" si="32"/>
        <v/>
      </c>
      <c r="AJ17" s="1" t="str">
        <f t="shared" si="33"/>
        <v/>
      </c>
      <c r="AK17" s="4" t="str">
        <f t="shared" si="34"/>
        <v/>
      </c>
      <c r="AL17" s="29">
        <f t="shared" si="35"/>
        <v>2</v>
      </c>
      <c r="AM17" s="25">
        <f t="shared" si="36"/>
        <v>-10</v>
      </c>
      <c r="AN17" s="1" t="str">
        <f t="shared" si="37"/>
        <v/>
      </c>
      <c r="AO17" s="1">
        <f t="shared" si="38"/>
        <v>-10</v>
      </c>
      <c r="AP17" s="1" t="str">
        <f t="shared" si="39"/>
        <v/>
      </c>
      <c r="AQ17" s="1" t="str">
        <f t="shared" si="40"/>
        <v/>
      </c>
      <c r="AR17" s="1" t="str">
        <f t="shared" si="41"/>
        <v/>
      </c>
      <c r="AS17" s="1" t="str">
        <f t="shared" si="42"/>
        <v/>
      </c>
      <c r="AT17" s="1" t="str">
        <f t="shared" si="43"/>
        <v/>
      </c>
      <c r="AU17" s="1" t="str">
        <f t="shared" si="44"/>
        <v/>
      </c>
      <c r="AV17" s="1" t="str">
        <f t="shared" si="45"/>
        <v/>
      </c>
      <c r="AW17" s="1" t="str">
        <f t="shared" si="46"/>
        <v>-10:2</v>
      </c>
      <c r="AX17" s="1" t="str">
        <f t="shared" si="47"/>
        <v>-20:1</v>
      </c>
      <c r="AY17" s="1" t="str">
        <f t="shared" si="48"/>
        <v>-10:2</v>
      </c>
      <c r="AZ17" s="1" t="str">
        <f t="shared" si="49"/>
        <v>-30:1</v>
      </c>
      <c r="BA17" s="1" t="str">
        <f t="shared" si="50"/>
        <v/>
      </c>
      <c r="BB17" s="1" t="str">
        <f t="shared" si="51"/>
        <v/>
      </c>
      <c r="BC17" s="1" t="str">
        <f t="shared" si="52"/>
        <v/>
      </c>
      <c r="BD17" s="1" t="str">
        <f t="shared" si="53"/>
        <v/>
      </c>
      <c r="BE17" s="1" t="str">
        <f t="shared" si="54"/>
        <v/>
      </c>
      <c r="BF17" s="1"/>
      <c r="BG17" s="2">
        <f t="shared" si="55"/>
        <v>-10</v>
      </c>
      <c r="BH17" s="2">
        <f t="shared" si="56"/>
        <v>-20</v>
      </c>
      <c r="BI17" s="2">
        <f t="shared" si="57"/>
        <v>-10</v>
      </c>
      <c r="BJ17" s="2">
        <f t="shared" si="58"/>
        <v>-30</v>
      </c>
      <c r="BK17" s="2" t="str">
        <f t="shared" si="59"/>
        <v/>
      </c>
      <c r="BL17" s="2" t="str">
        <f t="shared" si="60"/>
        <v/>
      </c>
      <c r="BM17" s="2" t="str">
        <f t="shared" si="61"/>
        <v/>
      </c>
      <c r="BN17" s="2" t="str">
        <f t="shared" si="62"/>
        <v/>
      </c>
      <c r="BO17" s="2" t="str">
        <f t="shared" si="63"/>
        <v/>
      </c>
      <c r="BP17" s="2" t="str">
        <f t="shared" si="64"/>
        <v/>
      </c>
      <c r="BQ17" s="2" t="str">
        <f t="shared" si="65"/>
        <v/>
      </c>
      <c r="BR17" s="2" t="str">
        <f t="shared" si="66"/>
        <v/>
      </c>
      <c r="BS17" s="2" t="str">
        <f t="shared" si="67"/>
        <v/>
      </c>
      <c r="BT17" s="2" t="str">
        <f t="shared" si="68"/>
        <v/>
      </c>
      <c r="BU17" s="2" t="str">
        <f t="shared" si="69"/>
        <v/>
      </c>
      <c r="BV17" s="2" t="str">
        <f t="shared" si="70"/>
        <v/>
      </c>
      <c r="BW17" s="2" t="str">
        <f t="shared" si="71"/>
        <v/>
      </c>
      <c r="BX17" s="2" t="str">
        <f t="shared" si="72"/>
        <v/>
      </c>
      <c r="BY17" s="2" t="str">
        <f t="shared" si="73"/>
        <v/>
      </c>
      <c r="BZ17" s="2" t="str">
        <f t="shared" si="74"/>
        <v/>
      </c>
      <c r="CA17" s="2">
        <f t="shared" si="12"/>
        <v>-10</v>
      </c>
      <c r="CB17" s="2" t="str">
        <f t="shared" si="13"/>
        <v/>
      </c>
      <c r="CC17" s="2">
        <f t="shared" si="14"/>
        <v>-10</v>
      </c>
      <c r="CD17" s="2" t="str">
        <f t="shared" si="15"/>
        <v/>
      </c>
      <c r="CE17" s="2" t="str">
        <f t="shared" si="16"/>
        <v/>
      </c>
      <c r="CF17" s="2" t="str">
        <f t="shared" si="17"/>
        <v/>
      </c>
      <c r="CG17" s="2" t="str">
        <f t="shared" si="18"/>
        <v/>
      </c>
      <c r="CH17" s="2" t="str">
        <f t="shared" si="19"/>
        <v/>
      </c>
      <c r="CI17" s="2" t="str">
        <f t="shared" si="20"/>
        <v/>
      </c>
      <c r="CJ17" s="18" t="str">
        <f t="shared" si="21"/>
        <v/>
      </c>
    </row>
    <row r="18" spans="2:88">
      <c r="B18" s="3">
        <f t="shared" si="75"/>
        <v>2</v>
      </c>
      <c r="C18" s="8" t="str">
        <f t="shared" si="22"/>
        <v>1,3</v>
      </c>
      <c r="D18" s="7">
        <v>9</v>
      </c>
      <c r="E18" s="7">
        <v>2</v>
      </c>
      <c r="F18" s="39" t="str">
        <f t="shared" si="0"/>
        <v>1;3</v>
      </c>
      <c r="G18" s="40" t="str">
        <f t="shared" si="1"/>
        <v>1:1;3:1</v>
      </c>
      <c r="H18" s="40">
        <f t="shared" si="23"/>
        <v>1</v>
      </c>
      <c r="I18" s="40">
        <f t="shared" si="24"/>
        <v>3</v>
      </c>
      <c r="J18" s="40">
        <f t="shared" si="76"/>
        <v>2</v>
      </c>
      <c r="K18" s="40" t="str">
        <f t="shared" si="2"/>
        <v>1;3</v>
      </c>
      <c r="L18" s="40" t="str">
        <f t="shared" si="3"/>
        <v/>
      </c>
      <c r="M18" s="62" t="str">
        <f t="shared" si="4"/>
        <v>1;3</v>
      </c>
      <c r="N18" s="40" t="str">
        <f t="shared" si="25"/>
        <v>0-1:[1];2-3:[3]</v>
      </c>
      <c r="O18" s="65">
        <f t="shared" si="77"/>
        <v>2</v>
      </c>
      <c r="P18" s="41" t="s">
        <v>29</v>
      </c>
      <c r="Q18" s="42" t="str">
        <f t="shared" si="5"/>
        <v>3</v>
      </c>
      <c r="R18" s="57">
        <v>1</v>
      </c>
      <c r="S18" s="58">
        <v>3</v>
      </c>
      <c r="T18" s="58"/>
      <c r="U18" s="58"/>
      <c r="V18" s="58"/>
      <c r="W18" s="58"/>
      <c r="X18" s="58"/>
      <c r="Y18" s="58"/>
      <c r="Z18" s="58"/>
      <c r="AA18" s="58"/>
      <c r="AB18" s="1">
        <f t="shared" si="6"/>
        <v>1</v>
      </c>
      <c r="AC18" s="1">
        <f t="shared" si="26"/>
        <v>1</v>
      </c>
      <c r="AD18" s="1" t="str">
        <f t="shared" si="27"/>
        <v/>
      </c>
      <c r="AE18" s="1" t="str">
        <f t="shared" si="28"/>
        <v/>
      </c>
      <c r="AF18" s="1" t="str">
        <f t="shared" si="29"/>
        <v/>
      </c>
      <c r="AG18" s="1" t="str">
        <f t="shared" si="30"/>
        <v/>
      </c>
      <c r="AH18" s="1" t="str">
        <f t="shared" si="31"/>
        <v/>
      </c>
      <c r="AI18" s="1" t="str">
        <f t="shared" si="32"/>
        <v/>
      </c>
      <c r="AJ18" s="1" t="str">
        <f t="shared" si="33"/>
        <v/>
      </c>
      <c r="AK18" s="4" t="str">
        <f t="shared" si="34"/>
        <v/>
      </c>
      <c r="AL18" s="29">
        <f t="shared" si="35"/>
        <v>1</v>
      </c>
      <c r="AM18" s="25">
        <f t="shared" si="36"/>
        <v>1</v>
      </c>
      <c r="AN18" s="1">
        <f t="shared" si="37"/>
        <v>3</v>
      </c>
      <c r="AO18" s="1" t="str">
        <f t="shared" si="38"/>
        <v/>
      </c>
      <c r="AP18" s="1" t="str">
        <f t="shared" si="39"/>
        <v/>
      </c>
      <c r="AQ18" s="1" t="str">
        <f t="shared" si="40"/>
        <v/>
      </c>
      <c r="AR18" s="1" t="str">
        <f t="shared" si="41"/>
        <v/>
      </c>
      <c r="AS18" s="1" t="str">
        <f t="shared" si="42"/>
        <v/>
      </c>
      <c r="AT18" s="1" t="str">
        <f t="shared" si="43"/>
        <v/>
      </c>
      <c r="AU18" s="1" t="str">
        <f t="shared" si="44"/>
        <v/>
      </c>
      <c r="AV18" s="1" t="str">
        <f t="shared" si="45"/>
        <v/>
      </c>
      <c r="AW18" s="1" t="str">
        <f t="shared" si="46"/>
        <v>1:1</v>
      </c>
      <c r="AX18" s="1" t="str">
        <f t="shared" si="47"/>
        <v>3:1</v>
      </c>
      <c r="AY18" s="1" t="str">
        <f t="shared" si="48"/>
        <v/>
      </c>
      <c r="AZ18" s="1" t="str">
        <f t="shared" si="49"/>
        <v/>
      </c>
      <c r="BA18" s="1" t="str">
        <f t="shared" si="50"/>
        <v/>
      </c>
      <c r="BB18" s="1" t="str">
        <f t="shared" si="51"/>
        <v/>
      </c>
      <c r="BC18" s="1" t="str">
        <f t="shared" si="52"/>
        <v/>
      </c>
      <c r="BD18" s="1" t="str">
        <f t="shared" si="53"/>
        <v/>
      </c>
      <c r="BE18" s="1" t="str">
        <f t="shared" si="54"/>
        <v/>
      </c>
      <c r="BF18" s="1"/>
      <c r="BG18" s="2" t="str">
        <f t="shared" si="55"/>
        <v/>
      </c>
      <c r="BH18" s="2" t="str">
        <f t="shared" si="56"/>
        <v/>
      </c>
      <c r="BI18" s="2" t="str">
        <f t="shared" si="57"/>
        <v/>
      </c>
      <c r="BJ18" s="2" t="str">
        <f t="shared" si="58"/>
        <v/>
      </c>
      <c r="BK18" s="2" t="str">
        <f t="shared" si="59"/>
        <v/>
      </c>
      <c r="BL18" s="2" t="str">
        <f t="shared" si="60"/>
        <v/>
      </c>
      <c r="BM18" s="2" t="str">
        <f t="shared" si="61"/>
        <v/>
      </c>
      <c r="BN18" s="2" t="str">
        <f t="shared" si="62"/>
        <v/>
      </c>
      <c r="BO18" s="2" t="str">
        <f t="shared" si="63"/>
        <v/>
      </c>
      <c r="BP18" s="2" t="str">
        <f t="shared" si="64"/>
        <v/>
      </c>
      <c r="BQ18" s="2">
        <f t="shared" si="65"/>
        <v>1</v>
      </c>
      <c r="BR18" s="2">
        <f t="shared" si="66"/>
        <v>3</v>
      </c>
      <c r="BS18" s="2" t="str">
        <f t="shared" si="67"/>
        <v/>
      </c>
      <c r="BT18" s="2" t="str">
        <f t="shared" si="68"/>
        <v/>
      </c>
      <c r="BU18" s="2" t="str">
        <f t="shared" si="69"/>
        <v/>
      </c>
      <c r="BV18" s="2" t="str">
        <f t="shared" si="70"/>
        <v/>
      </c>
      <c r="BW18" s="2" t="str">
        <f t="shared" si="71"/>
        <v/>
      </c>
      <c r="BX18" s="2" t="str">
        <f t="shared" si="72"/>
        <v/>
      </c>
      <c r="BY18" s="2" t="str">
        <f t="shared" si="73"/>
        <v/>
      </c>
      <c r="BZ18" s="2" t="str">
        <f t="shared" si="74"/>
        <v/>
      </c>
      <c r="CA18" s="2" t="str">
        <f t="shared" si="12"/>
        <v/>
      </c>
      <c r="CB18" s="2">
        <f t="shared" si="13"/>
        <v>3</v>
      </c>
      <c r="CC18" s="2" t="str">
        <f t="shared" si="14"/>
        <v/>
      </c>
      <c r="CD18" s="2" t="str">
        <f t="shared" si="15"/>
        <v/>
      </c>
      <c r="CE18" s="2" t="str">
        <f t="shared" si="16"/>
        <v/>
      </c>
      <c r="CF18" s="2" t="str">
        <f t="shared" si="17"/>
        <v/>
      </c>
      <c r="CG18" s="2" t="str">
        <f t="shared" si="18"/>
        <v/>
      </c>
      <c r="CH18" s="2" t="str">
        <f t="shared" si="19"/>
        <v/>
      </c>
      <c r="CI18" s="2" t="str">
        <f t="shared" si="20"/>
        <v/>
      </c>
      <c r="CJ18" s="18" t="str">
        <f t="shared" si="21"/>
        <v/>
      </c>
    </row>
    <row r="19" spans="2:88">
      <c r="B19" s="3">
        <f t="shared" si="75"/>
        <v>0</v>
      </c>
      <c r="C19" s="8" t="str">
        <f t="shared" si="22"/>
        <v>-5,0,5</v>
      </c>
      <c r="D19" s="7">
        <v>10</v>
      </c>
      <c r="E19" s="7">
        <v>5</v>
      </c>
      <c r="F19" s="39" t="str">
        <f t="shared" si="0"/>
        <v>-5;0;5</v>
      </c>
      <c r="G19" s="40" t="str">
        <f t="shared" si="1"/>
        <v>-5:1;0:1;5:1</v>
      </c>
      <c r="H19" s="40">
        <f t="shared" si="23"/>
        <v>-5</v>
      </c>
      <c r="I19" s="40">
        <f t="shared" si="24"/>
        <v>5</v>
      </c>
      <c r="J19" s="40">
        <f t="shared" si="76"/>
        <v>0</v>
      </c>
      <c r="K19" s="40" t="str">
        <f t="shared" si="2"/>
        <v>-5;0;5</v>
      </c>
      <c r="L19" s="40" t="str">
        <f t="shared" si="3"/>
        <v>0</v>
      </c>
      <c r="M19" s="62" t="str">
        <f t="shared" si="4"/>
        <v>-5;5</v>
      </c>
      <c r="N19" s="40" t="str">
        <f t="shared" si="25"/>
        <v>0-4:[0];-5--1:[-5];5-9:[5]</v>
      </c>
      <c r="O19" s="65">
        <f t="shared" si="77"/>
        <v>0</v>
      </c>
      <c r="P19" s="41" t="s">
        <v>30</v>
      </c>
      <c r="Q19" s="42" t="str">
        <f t="shared" si="5"/>
        <v>0;5</v>
      </c>
      <c r="R19" s="57">
        <v>-5</v>
      </c>
      <c r="S19" s="58">
        <v>0</v>
      </c>
      <c r="T19" s="58">
        <v>5</v>
      </c>
      <c r="U19" s="58"/>
      <c r="V19" s="58"/>
      <c r="W19" s="58"/>
      <c r="X19" s="58"/>
      <c r="Y19" s="58"/>
      <c r="Z19" s="58"/>
      <c r="AA19" s="58"/>
      <c r="AB19" s="1">
        <f t="shared" si="6"/>
        <v>1</v>
      </c>
      <c r="AC19" s="1">
        <f t="shared" si="26"/>
        <v>1</v>
      </c>
      <c r="AD19" s="1">
        <f t="shared" si="27"/>
        <v>1</v>
      </c>
      <c r="AE19" s="1" t="str">
        <f t="shared" si="28"/>
        <v/>
      </c>
      <c r="AF19" s="1" t="str">
        <f t="shared" si="29"/>
        <v/>
      </c>
      <c r="AG19" s="1" t="str">
        <f t="shared" si="30"/>
        <v/>
      </c>
      <c r="AH19" s="1" t="str">
        <f t="shared" si="31"/>
        <v/>
      </c>
      <c r="AI19" s="1" t="str">
        <f t="shared" si="32"/>
        <v/>
      </c>
      <c r="AJ19" s="1" t="str">
        <f t="shared" si="33"/>
        <v/>
      </c>
      <c r="AK19" s="4" t="str">
        <f t="shared" si="34"/>
        <v/>
      </c>
      <c r="AL19" s="29">
        <f t="shared" si="35"/>
        <v>1</v>
      </c>
      <c r="AM19" s="25">
        <f t="shared" si="36"/>
        <v>-5</v>
      </c>
      <c r="AN19" s="1">
        <f t="shared" si="37"/>
        <v>0</v>
      </c>
      <c r="AO19" s="1">
        <f t="shared" si="38"/>
        <v>5</v>
      </c>
      <c r="AP19" s="1" t="str">
        <f t="shared" si="39"/>
        <v/>
      </c>
      <c r="AQ19" s="1" t="str">
        <f t="shared" si="40"/>
        <v/>
      </c>
      <c r="AR19" s="1" t="str">
        <f t="shared" si="41"/>
        <v/>
      </c>
      <c r="AS19" s="1" t="str">
        <f t="shared" si="42"/>
        <v/>
      </c>
      <c r="AT19" s="1" t="str">
        <f t="shared" si="43"/>
        <v/>
      </c>
      <c r="AU19" s="1" t="str">
        <f t="shared" si="44"/>
        <v/>
      </c>
      <c r="AV19" s="1" t="str">
        <f t="shared" si="45"/>
        <v/>
      </c>
      <c r="AW19" s="1" t="str">
        <f t="shared" si="46"/>
        <v>-5:1</v>
      </c>
      <c r="AX19" s="1" t="str">
        <f t="shared" si="47"/>
        <v>0:1</v>
      </c>
      <c r="AY19" s="1" t="str">
        <f t="shared" si="48"/>
        <v>5:1</v>
      </c>
      <c r="AZ19" s="1" t="str">
        <f t="shared" si="49"/>
        <v/>
      </c>
      <c r="BA19" s="1" t="str">
        <f t="shared" si="50"/>
        <v/>
      </c>
      <c r="BB19" s="1" t="str">
        <f t="shared" si="51"/>
        <v/>
      </c>
      <c r="BC19" s="1" t="str">
        <f t="shared" si="52"/>
        <v/>
      </c>
      <c r="BD19" s="1" t="str">
        <f t="shared" si="53"/>
        <v/>
      </c>
      <c r="BE19" s="1" t="str">
        <f t="shared" si="54"/>
        <v/>
      </c>
      <c r="BF19" s="1"/>
      <c r="BG19" s="2" t="str">
        <f t="shared" si="55"/>
        <v/>
      </c>
      <c r="BH19" s="2">
        <f t="shared" si="56"/>
        <v>0</v>
      </c>
      <c r="BI19" s="2" t="str">
        <f t="shared" si="57"/>
        <v/>
      </c>
      <c r="BJ19" s="2" t="str">
        <f t="shared" si="58"/>
        <v/>
      </c>
      <c r="BK19" s="2" t="str">
        <f t="shared" si="59"/>
        <v/>
      </c>
      <c r="BL19" s="2" t="str">
        <f t="shared" si="60"/>
        <v/>
      </c>
      <c r="BM19" s="2" t="str">
        <f t="shared" si="61"/>
        <v/>
      </c>
      <c r="BN19" s="2" t="str">
        <f t="shared" si="62"/>
        <v/>
      </c>
      <c r="BO19" s="2" t="str">
        <f t="shared" si="63"/>
        <v/>
      </c>
      <c r="BP19" s="2" t="str">
        <f t="shared" si="64"/>
        <v/>
      </c>
      <c r="BQ19" s="2">
        <f t="shared" si="65"/>
        <v>-5</v>
      </c>
      <c r="BR19" s="2" t="str">
        <f t="shared" si="66"/>
        <v/>
      </c>
      <c r="BS19" s="2">
        <f t="shared" si="67"/>
        <v>5</v>
      </c>
      <c r="BT19" s="2" t="str">
        <f t="shared" si="68"/>
        <v/>
      </c>
      <c r="BU19" s="2" t="str">
        <f t="shared" si="69"/>
        <v/>
      </c>
      <c r="BV19" s="2" t="str">
        <f t="shared" si="70"/>
        <v/>
      </c>
      <c r="BW19" s="2" t="str">
        <f t="shared" si="71"/>
        <v/>
      </c>
      <c r="BX19" s="2" t="str">
        <f t="shared" si="72"/>
        <v/>
      </c>
      <c r="BY19" s="2" t="str">
        <f t="shared" si="73"/>
        <v/>
      </c>
      <c r="BZ19" s="2" t="str">
        <f t="shared" si="74"/>
        <v/>
      </c>
      <c r="CA19" s="2" t="str">
        <f t="shared" si="12"/>
        <v/>
      </c>
      <c r="CB19" s="2">
        <f t="shared" si="13"/>
        <v>0</v>
      </c>
      <c r="CC19" s="2">
        <f t="shared" si="14"/>
        <v>5</v>
      </c>
      <c r="CD19" s="2" t="str">
        <f t="shared" si="15"/>
        <v/>
      </c>
      <c r="CE19" s="2" t="str">
        <f t="shared" si="16"/>
        <v/>
      </c>
      <c r="CF19" s="2" t="str">
        <f t="shared" si="17"/>
        <v/>
      </c>
      <c r="CG19" s="2" t="str">
        <f t="shared" si="18"/>
        <v/>
      </c>
      <c r="CH19" s="2" t="str">
        <f t="shared" si="19"/>
        <v/>
      </c>
      <c r="CI19" s="2" t="str">
        <f t="shared" si="20"/>
        <v/>
      </c>
      <c r="CJ19" s="18" t="str">
        <f t="shared" si="21"/>
        <v/>
      </c>
    </row>
    <row r="20" spans="2:88">
      <c r="B20" s="3">
        <f t="shared" si="75"/>
        <v>0</v>
      </c>
      <c r="C20" s="8" t="str">
        <f t="shared" si="22"/>
        <v>0</v>
      </c>
      <c r="D20" s="7">
        <v>11</v>
      </c>
      <c r="E20" s="7">
        <v>5</v>
      </c>
      <c r="F20" s="39" t="str">
        <f t="shared" si="0"/>
        <v>0;0;0;0</v>
      </c>
      <c r="G20" s="40" t="str">
        <f t="shared" si="1"/>
        <v>0:4</v>
      </c>
      <c r="H20" s="40">
        <f t="shared" si="23"/>
        <v>0</v>
      </c>
      <c r="I20" s="40">
        <f t="shared" si="24"/>
        <v>0</v>
      </c>
      <c r="J20" s="40">
        <f t="shared" si="76"/>
        <v>0</v>
      </c>
      <c r="K20" s="40" t="str">
        <f t="shared" si="2"/>
        <v>0</v>
      </c>
      <c r="L20" s="40" t="str">
        <f t="shared" si="3"/>
        <v>0;0;0;0</v>
      </c>
      <c r="M20" s="62" t="str">
        <f t="shared" si="4"/>
        <v/>
      </c>
      <c r="N20" s="40" t="str">
        <f t="shared" si="25"/>
        <v>0-4:[0;0;0;0]</v>
      </c>
      <c r="O20" s="65">
        <f t="shared" si="77"/>
        <v>0</v>
      </c>
      <c r="P20" s="41" t="s">
        <v>21</v>
      </c>
      <c r="Q20" s="42" t="str">
        <f t="shared" si="5"/>
        <v>0;0;0;0</v>
      </c>
      <c r="R20" s="57">
        <v>0</v>
      </c>
      <c r="S20" s="58">
        <v>0</v>
      </c>
      <c r="T20" s="58">
        <v>0</v>
      </c>
      <c r="U20" s="58">
        <v>0</v>
      </c>
      <c r="V20" s="58"/>
      <c r="W20" s="58"/>
      <c r="X20" s="58"/>
      <c r="Y20" s="58"/>
      <c r="Z20" s="58"/>
      <c r="AA20" s="58"/>
      <c r="AB20" s="1">
        <f t="shared" si="6"/>
        <v>4</v>
      </c>
      <c r="AC20" s="1">
        <f t="shared" si="26"/>
        <v>4</v>
      </c>
      <c r="AD20" s="1">
        <f t="shared" si="27"/>
        <v>4</v>
      </c>
      <c r="AE20" s="1">
        <f t="shared" si="28"/>
        <v>4</v>
      </c>
      <c r="AF20" s="1" t="str">
        <f t="shared" si="29"/>
        <v/>
      </c>
      <c r="AG20" s="1" t="str">
        <f t="shared" si="30"/>
        <v/>
      </c>
      <c r="AH20" s="1" t="str">
        <f t="shared" si="31"/>
        <v/>
      </c>
      <c r="AI20" s="1" t="str">
        <f t="shared" si="32"/>
        <v/>
      </c>
      <c r="AJ20" s="1" t="str">
        <f t="shared" si="33"/>
        <v/>
      </c>
      <c r="AK20" s="4" t="str">
        <f t="shared" si="34"/>
        <v/>
      </c>
      <c r="AL20" s="29">
        <f t="shared" si="35"/>
        <v>4</v>
      </c>
      <c r="AM20" s="25">
        <f t="shared" si="36"/>
        <v>0</v>
      </c>
      <c r="AN20" s="1">
        <f t="shared" si="37"/>
        <v>0</v>
      </c>
      <c r="AO20" s="1">
        <f t="shared" si="38"/>
        <v>0</v>
      </c>
      <c r="AP20" s="1">
        <f t="shared" si="39"/>
        <v>0</v>
      </c>
      <c r="AQ20" s="1" t="str">
        <f t="shared" si="40"/>
        <v/>
      </c>
      <c r="AR20" s="1" t="str">
        <f t="shared" si="41"/>
        <v/>
      </c>
      <c r="AS20" s="1" t="str">
        <f t="shared" si="42"/>
        <v/>
      </c>
      <c r="AT20" s="1" t="str">
        <f t="shared" si="43"/>
        <v/>
      </c>
      <c r="AU20" s="1" t="str">
        <f t="shared" si="44"/>
        <v/>
      </c>
      <c r="AV20" s="1" t="str">
        <f t="shared" si="45"/>
        <v/>
      </c>
      <c r="AW20" s="1" t="str">
        <f t="shared" si="46"/>
        <v>0:4</v>
      </c>
      <c r="AX20" s="1" t="str">
        <f t="shared" si="47"/>
        <v>0:4</v>
      </c>
      <c r="AY20" s="1" t="str">
        <f t="shared" si="48"/>
        <v>0:4</v>
      </c>
      <c r="AZ20" s="1" t="str">
        <f t="shared" si="49"/>
        <v>0:4</v>
      </c>
      <c r="BA20" s="1" t="str">
        <f t="shared" si="50"/>
        <v/>
      </c>
      <c r="BB20" s="1" t="str">
        <f t="shared" si="51"/>
        <v/>
      </c>
      <c r="BC20" s="1" t="str">
        <f t="shared" si="52"/>
        <v/>
      </c>
      <c r="BD20" s="1" t="str">
        <f t="shared" si="53"/>
        <v/>
      </c>
      <c r="BE20" s="1" t="str">
        <f t="shared" si="54"/>
        <v/>
      </c>
      <c r="BF20" s="1"/>
      <c r="BG20" s="2">
        <f t="shared" si="55"/>
        <v>0</v>
      </c>
      <c r="BH20" s="2">
        <f t="shared" si="56"/>
        <v>0</v>
      </c>
      <c r="BI20" s="2">
        <f t="shared" si="57"/>
        <v>0</v>
      </c>
      <c r="BJ20" s="2">
        <f t="shared" si="58"/>
        <v>0</v>
      </c>
      <c r="BK20" s="2" t="str">
        <f t="shared" si="59"/>
        <v/>
      </c>
      <c r="BL20" s="2" t="str">
        <f t="shared" si="60"/>
        <v/>
      </c>
      <c r="BM20" s="2" t="str">
        <f t="shared" si="61"/>
        <v/>
      </c>
      <c r="BN20" s="2" t="str">
        <f t="shared" si="62"/>
        <v/>
      </c>
      <c r="BO20" s="2" t="str">
        <f t="shared" si="63"/>
        <v/>
      </c>
      <c r="BP20" s="2" t="str">
        <f t="shared" si="64"/>
        <v/>
      </c>
      <c r="BQ20" s="2" t="str">
        <f t="shared" si="65"/>
        <v/>
      </c>
      <c r="BR20" s="2" t="str">
        <f t="shared" si="66"/>
        <v/>
      </c>
      <c r="BS20" s="2" t="str">
        <f t="shared" si="67"/>
        <v/>
      </c>
      <c r="BT20" s="2" t="str">
        <f t="shared" si="68"/>
        <v/>
      </c>
      <c r="BU20" s="2" t="str">
        <f t="shared" si="69"/>
        <v/>
      </c>
      <c r="BV20" s="2" t="str">
        <f t="shared" si="70"/>
        <v/>
      </c>
      <c r="BW20" s="2" t="str">
        <f t="shared" si="71"/>
        <v/>
      </c>
      <c r="BX20" s="2" t="str">
        <f t="shared" si="72"/>
        <v/>
      </c>
      <c r="BY20" s="2" t="str">
        <f t="shared" si="73"/>
        <v/>
      </c>
      <c r="BZ20" s="2" t="str">
        <f t="shared" si="74"/>
        <v/>
      </c>
      <c r="CA20" s="2">
        <f t="shared" si="12"/>
        <v>0</v>
      </c>
      <c r="CB20" s="2">
        <f t="shared" si="13"/>
        <v>0</v>
      </c>
      <c r="CC20" s="2">
        <f t="shared" si="14"/>
        <v>0</v>
      </c>
      <c r="CD20" s="2">
        <f t="shared" si="15"/>
        <v>0</v>
      </c>
      <c r="CE20" s="2" t="str">
        <f t="shared" si="16"/>
        <v/>
      </c>
      <c r="CF20" s="2" t="str">
        <f t="shared" si="17"/>
        <v/>
      </c>
      <c r="CG20" s="2" t="str">
        <f t="shared" si="18"/>
        <v/>
      </c>
      <c r="CH20" s="2" t="str">
        <f t="shared" si="19"/>
        <v/>
      </c>
      <c r="CI20" s="2" t="str">
        <f t="shared" si="20"/>
        <v/>
      </c>
      <c r="CJ20" s="18" t="str">
        <f t="shared" si="21"/>
        <v/>
      </c>
    </row>
    <row r="21" spans="2:88">
      <c r="B21" s="3">
        <f>AVERAGE(R21:AA21)</f>
        <v>2</v>
      </c>
      <c r="C21" s="8" t="str">
        <f t="shared" si="22"/>
        <v>3,1,2</v>
      </c>
      <c r="D21" s="7">
        <v>12</v>
      </c>
      <c r="E21" s="7">
        <v>1</v>
      </c>
      <c r="F21" s="39" t="str">
        <f t="shared" si="0"/>
        <v>3;1;2;1;2;3</v>
      </c>
      <c r="G21" s="40" t="str">
        <f t="shared" si="1"/>
        <v>3:2;1:2;2:2</v>
      </c>
      <c r="H21" s="40">
        <f t="shared" si="23"/>
        <v>1</v>
      </c>
      <c r="I21" s="40">
        <f t="shared" si="24"/>
        <v>3</v>
      </c>
      <c r="J21" s="40">
        <f t="shared" si="76"/>
        <v>2</v>
      </c>
      <c r="K21" s="40" t="str">
        <f t="shared" si="2"/>
        <v>3;1;2</v>
      </c>
      <c r="L21" s="40" t="str">
        <f t="shared" si="3"/>
        <v>2;2</v>
      </c>
      <c r="M21" s="62" t="str">
        <f t="shared" si="4"/>
        <v>3;1;1;3</v>
      </c>
      <c r="N21" s="40" t="str">
        <f t="shared" si="25"/>
        <v>1-1:[1;1];2-2:[2;2];3-3:[3;3]</v>
      </c>
      <c r="O21" s="65">
        <f t="shared" si="77"/>
        <v>2</v>
      </c>
      <c r="P21" s="41" t="s">
        <v>23</v>
      </c>
      <c r="Q21" s="42" t="str">
        <f t="shared" si="5"/>
        <v>3;2;2;3</v>
      </c>
      <c r="R21" s="57">
        <v>3</v>
      </c>
      <c r="S21" s="58">
        <v>1</v>
      </c>
      <c r="T21" s="58">
        <v>2</v>
      </c>
      <c r="U21" s="58">
        <v>1</v>
      </c>
      <c r="V21" s="58">
        <v>2</v>
      </c>
      <c r="W21" s="58">
        <v>3</v>
      </c>
      <c r="X21" s="58"/>
      <c r="Y21" s="58"/>
      <c r="Z21" s="58"/>
      <c r="AA21" s="58"/>
      <c r="AB21" s="1">
        <f t="shared" si="6"/>
        <v>2</v>
      </c>
      <c r="AC21" s="1">
        <f t="shared" si="26"/>
        <v>2</v>
      </c>
      <c r="AD21" s="1">
        <f t="shared" si="27"/>
        <v>2</v>
      </c>
      <c r="AE21" s="1">
        <f t="shared" si="28"/>
        <v>2</v>
      </c>
      <c r="AF21" s="1">
        <f t="shared" si="29"/>
        <v>2</v>
      </c>
      <c r="AG21" s="1">
        <f t="shared" si="30"/>
        <v>2</v>
      </c>
      <c r="AH21" s="1" t="str">
        <f t="shared" si="31"/>
        <v/>
      </c>
      <c r="AI21" s="1" t="str">
        <f t="shared" si="32"/>
        <v/>
      </c>
      <c r="AJ21" s="1" t="str">
        <f t="shared" si="33"/>
        <v/>
      </c>
      <c r="AK21" s="4" t="str">
        <f t="shared" si="34"/>
        <v/>
      </c>
      <c r="AL21" s="29">
        <f t="shared" si="35"/>
        <v>2</v>
      </c>
      <c r="AM21" s="25">
        <f t="shared" si="36"/>
        <v>3</v>
      </c>
      <c r="AN21" s="1">
        <f t="shared" si="37"/>
        <v>1</v>
      </c>
      <c r="AO21" s="1">
        <f t="shared" si="38"/>
        <v>2</v>
      </c>
      <c r="AP21" s="1">
        <f t="shared" si="39"/>
        <v>1</v>
      </c>
      <c r="AQ21" s="1">
        <f t="shared" si="40"/>
        <v>2</v>
      </c>
      <c r="AR21" s="1">
        <f t="shared" si="41"/>
        <v>3</v>
      </c>
      <c r="AS21" s="1" t="str">
        <f t="shared" si="42"/>
        <v/>
      </c>
      <c r="AT21" s="1" t="str">
        <f t="shared" si="43"/>
        <v/>
      </c>
      <c r="AU21" s="1" t="str">
        <f t="shared" si="44"/>
        <v/>
      </c>
      <c r="AV21" s="1" t="str">
        <f t="shared" si="45"/>
        <v/>
      </c>
      <c r="AW21" s="1" t="str">
        <f t="shared" si="46"/>
        <v>3:2</v>
      </c>
      <c r="AX21" s="1" t="str">
        <f t="shared" si="47"/>
        <v>1:2</v>
      </c>
      <c r="AY21" s="1" t="str">
        <f t="shared" si="48"/>
        <v>2:2</v>
      </c>
      <c r="AZ21" s="1" t="str">
        <f t="shared" si="49"/>
        <v>1:2</v>
      </c>
      <c r="BA21" s="1" t="str">
        <f t="shared" si="50"/>
        <v>2:2</v>
      </c>
      <c r="BB21" s="1" t="str">
        <f t="shared" si="51"/>
        <v>3:2</v>
      </c>
      <c r="BC21" s="1" t="str">
        <f t="shared" si="52"/>
        <v/>
      </c>
      <c r="BD21" s="1" t="str">
        <f t="shared" si="53"/>
        <v/>
      </c>
      <c r="BE21" s="1" t="str">
        <f t="shared" si="54"/>
        <v/>
      </c>
      <c r="BF21" s="1"/>
      <c r="BG21" s="2" t="str">
        <f t="shared" si="55"/>
        <v/>
      </c>
      <c r="BH21" s="2" t="str">
        <f t="shared" si="56"/>
        <v/>
      </c>
      <c r="BI21" s="2">
        <f t="shared" si="57"/>
        <v>2</v>
      </c>
      <c r="BJ21" s="2" t="str">
        <f t="shared" si="58"/>
        <v/>
      </c>
      <c r="BK21" s="2">
        <f t="shared" si="59"/>
        <v>2</v>
      </c>
      <c r="BL21" s="2" t="str">
        <f t="shared" si="60"/>
        <v/>
      </c>
      <c r="BM21" s="2" t="str">
        <f t="shared" si="61"/>
        <v/>
      </c>
      <c r="BN21" s="2" t="str">
        <f t="shared" si="62"/>
        <v/>
      </c>
      <c r="BO21" s="2" t="str">
        <f t="shared" si="63"/>
        <v/>
      </c>
      <c r="BP21" s="2" t="str">
        <f t="shared" si="64"/>
        <v/>
      </c>
      <c r="BQ21" s="2">
        <f t="shared" si="65"/>
        <v>3</v>
      </c>
      <c r="BR21" s="2">
        <f t="shared" si="66"/>
        <v>1</v>
      </c>
      <c r="BS21" s="2" t="str">
        <f t="shared" si="67"/>
        <v/>
      </c>
      <c r="BT21" s="2">
        <f t="shared" si="68"/>
        <v>1</v>
      </c>
      <c r="BU21" s="2" t="str">
        <f t="shared" si="69"/>
        <v/>
      </c>
      <c r="BV21" s="2">
        <f t="shared" si="70"/>
        <v>3</v>
      </c>
      <c r="BW21" s="2" t="str">
        <f t="shared" si="71"/>
        <v/>
      </c>
      <c r="BX21" s="2" t="str">
        <f t="shared" si="72"/>
        <v/>
      </c>
      <c r="BY21" s="2" t="str">
        <f t="shared" si="73"/>
        <v/>
      </c>
      <c r="BZ21" s="2" t="str">
        <f t="shared" si="74"/>
        <v/>
      </c>
      <c r="CA21" s="2">
        <f t="shared" si="12"/>
        <v>3</v>
      </c>
      <c r="CB21" s="2" t="str">
        <f t="shared" si="13"/>
        <v/>
      </c>
      <c r="CC21" s="2">
        <f t="shared" si="14"/>
        <v>2</v>
      </c>
      <c r="CD21" s="2" t="str">
        <f t="shared" si="15"/>
        <v/>
      </c>
      <c r="CE21" s="2">
        <f t="shared" si="16"/>
        <v>2</v>
      </c>
      <c r="CF21" s="2">
        <f t="shared" si="17"/>
        <v>3</v>
      </c>
      <c r="CG21" s="2" t="str">
        <f t="shared" si="18"/>
        <v/>
      </c>
      <c r="CH21" s="2" t="str">
        <f t="shared" si="19"/>
        <v/>
      </c>
      <c r="CI21" s="2" t="str">
        <f t="shared" si="20"/>
        <v/>
      </c>
      <c r="CJ21" s="18" t="str">
        <f t="shared" si="21"/>
        <v/>
      </c>
    </row>
    <row r="22" spans="2:88" ht="13.5" thickBot="1">
      <c r="B22" s="17">
        <f t="shared" si="75"/>
        <v>1.6666666666666667</v>
      </c>
      <c r="C22" s="11" t="str">
        <f t="shared" si="22"/>
        <v>1,2,3</v>
      </c>
      <c r="D22" s="9">
        <v>13</v>
      </c>
      <c r="E22" s="9">
        <v>1</v>
      </c>
      <c r="F22" s="44" t="str">
        <f t="shared" si="0"/>
        <v>1;1;1;2;2;3</v>
      </c>
      <c r="G22" s="45" t="str">
        <f t="shared" si="1"/>
        <v>1:3;2:2;3:1</v>
      </c>
      <c r="H22" s="45">
        <f t="shared" si="23"/>
        <v>1</v>
      </c>
      <c r="I22" s="45">
        <f t="shared" si="24"/>
        <v>3</v>
      </c>
      <c r="J22" s="45">
        <f t="shared" si="76"/>
        <v>1</v>
      </c>
      <c r="K22" s="45" t="str">
        <f t="shared" si="2"/>
        <v>1</v>
      </c>
      <c r="L22" s="45" t="str">
        <f t="shared" si="3"/>
        <v>2;2</v>
      </c>
      <c r="M22" s="63" t="str">
        <f t="shared" si="4"/>
        <v>1;1;1;3</v>
      </c>
      <c r="N22" s="40" t="str">
        <f t="shared" si="25"/>
        <v>1-1:[1;1;1];2-2:[2;2];3-3:[3]</v>
      </c>
      <c r="O22" s="66">
        <f t="shared" si="77"/>
        <v>1</v>
      </c>
      <c r="P22" s="46" t="s">
        <v>23</v>
      </c>
      <c r="Q22" s="47" t="str">
        <f t="shared" si="5"/>
        <v>1;1;1;2;2;3</v>
      </c>
      <c r="R22" s="59">
        <v>1</v>
      </c>
      <c r="S22" s="60">
        <v>1</v>
      </c>
      <c r="T22" s="60">
        <v>1</v>
      </c>
      <c r="U22" s="60">
        <v>2</v>
      </c>
      <c r="V22" s="60">
        <v>2</v>
      </c>
      <c r="W22" s="60">
        <v>3</v>
      </c>
      <c r="X22" s="60"/>
      <c r="Y22" s="60"/>
      <c r="Z22" s="60"/>
      <c r="AA22" s="60"/>
      <c r="AB22" s="10">
        <f t="shared" si="6"/>
        <v>3</v>
      </c>
      <c r="AC22" s="10">
        <f t="shared" si="26"/>
        <v>3</v>
      </c>
      <c r="AD22" s="10">
        <f t="shared" si="27"/>
        <v>3</v>
      </c>
      <c r="AE22" s="10">
        <f t="shared" si="28"/>
        <v>2</v>
      </c>
      <c r="AF22" s="10">
        <f t="shared" si="29"/>
        <v>2</v>
      </c>
      <c r="AG22" s="10">
        <f t="shared" si="30"/>
        <v>1</v>
      </c>
      <c r="AH22" s="10" t="str">
        <f t="shared" si="31"/>
        <v/>
      </c>
      <c r="AI22" s="10" t="str">
        <f t="shared" si="32"/>
        <v/>
      </c>
      <c r="AJ22" s="10" t="str">
        <f t="shared" si="33"/>
        <v/>
      </c>
      <c r="AK22" s="23" t="str">
        <f t="shared" si="34"/>
        <v/>
      </c>
      <c r="AL22" s="30">
        <f t="shared" si="35"/>
        <v>3</v>
      </c>
      <c r="AM22" s="26">
        <f t="shared" si="36"/>
        <v>1</v>
      </c>
      <c r="AN22" s="10">
        <f t="shared" si="37"/>
        <v>1</v>
      </c>
      <c r="AO22" s="10">
        <f t="shared" si="38"/>
        <v>1</v>
      </c>
      <c r="AP22" s="10" t="str">
        <f t="shared" si="39"/>
        <v/>
      </c>
      <c r="AQ22" s="10" t="str">
        <f t="shared" si="40"/>
        <v/>
      </c>
      <c r="AR22" s="10" t="str">
        <f t="shared" si="41"/>
        <v/>
      </c>
      <c r="AS22" s="10" t="str">
        <f t="shared" si="42"/>
        <v/>
      </c>
      <c r="AT22" s="10" t="str">
        <f t="shared" si="43"/>
        <v/>
      </c>
      <c r="AU22" s="10" t="str">
        <f t="shared" si="44"/>
        <v/>
      </c>
      <c r="AV22" s="10" t="str">
        <f t="shared" si="45"/>
        <v/>
      </c>
      <c r="AW22" s="10" t="str">
        <f t="shared" si="46"/>
        <v>1:3</v>
      </c>
      <c r="AX22" s="10" t="str">
        <f t="shared" si="47"/>
        <v>1:3</v>
      </c>
      <c r="AY22" s="10" t="str">
        <f t="shared" si="48"/>
        <v>1:3</v>
      </c>
      <c r="AZ22" s="10" t="str">
        <f t="shared" si="49"/>
        <v>2:2</v>
      </c>
      <c r="BA22" s="10" t="str">
        <f t="shared" si="50"/>
        <v>2:2</v>
      </c>
      <c r="BB22" s="10" t="str">
        <f t="shared" si="51"/>
        <v>3:1</v>
      </c>
      <c r="BC22" s="10" t="str">
        <f t="shared" si="52"/>
        <v/>
      </c>
      <c r="BD22" s="10" t="str">
        <f t="shared" si="53"/>
        <v/>
      </c>
      <c r="BE22" s="10" t="str">
        <f t="shared" si="54"/>
        <v/>
      </c>
      <c r="BF22" s="10"/>
      <c r="BG22" s="19" t="str">
        <f t="shared" si="55"/>
        <v/>
      </c>
      <c r="BH22" s="19" t="str">
        <f t="shared" si="56"/>
        <v/>
      </c>
      <c r="BI22" s="19" t="str">
        <f t="shared" si="57"/>
        <v/>
      </c>
      <c r="BJ22" s="19">
        <f t="shared" si="58"/>
        <v>2</v>
      </c>
      <c r="BK22" s="19">
        <f t="shared" si="59"/>
        <v>2</v>
      </c>
      <c r="BL22" s="19" t="str">
        <f t="shared" si="60"/>
        <v/>
      </c>
      <c r="BM22" s="19" t="str">
        <f t="shared" si="61"/>
        <v/>
      </c>
      <c r="BN22" s="19" t="str">
        <f t="shared" si="62"/>
        <v/>
      </c>
      <c r="BO22" s="19" t="str">
        <f t="shared" si="63"/>
        <v/>
      </c>
      <c r="BP22" s="19" t="str">
        <f t="shared" si="64"/>
        <v/>
      </c>
      <c r="BQ22" s="19">
        <f t="shared" si="65"/>
        <v>1</v>
      </c>
      <c r="BR22" s="19">
        <f t="shared" si="66"/>
        <v>1</v>
      </c>
      <c r="BS22" s="19">
        <f t="shared" si="67"/>
        <v>1</v>
      </c>
      <c r="BT22" s="19" t="str">
        <f t="shared" si="68"/>
        <v/>
      </c>
      <c r="BU22" s="19" t="str">
        <f t="shared" si="69"/>
        <v/>
      </c>
      <c r="BV22" s="19">
        <f t="shared" si="70"/>
        <v>3</v>
      </c>
      <c r="BW22" s="19" t="str">
        <f t="shared" si="71"/>
        <v/>
      </c>
      <c r="BX22" s="19" t="str">
        <f t="shared" si="72"/>
        <v/>
      </c>
      <c r="BY22" s="19" t="str">
        <f t="shared" si="73"/>
        <v/>
      </c>
      <c r="BZ22" s="19" t="str">
        <f t="shared" si="74"/>
        <v/>
      </c>
      <c r="CA22" s="19">
        <f t="shared" si="12"/>
        <v>1</v>
      </c>
      <c r="CB22" s="19">
        <f t="shared" si="13"/>
        <v>1</v>
      </c>
      <c r="CC22" s="19">
        <f t="shared" si="14"/>
        <v>1</v>
      </c>
      <c r="CD22" s="19">
        <f t="shared" si="15"/>
        <v>2</v>
      </c>
      <c r="CE22" s="19">
        <f t="shared" si="16"/>
        <v>2</v>
      </c>
      <c r="CF22" s="19">
        <f t="shared" si="17"/>
        <v>3</v>
      </c>
      <c r="CG22" s="19" t="str">
        <f t="shared" si="18"/>
        <v/>
      </c>
      <c r="CH22" s="19" t="str">
        <f t="shared" si="19"/>
        <v/>
      </c>
      <c r="CI22" s="19" t="str">
        <f t="shared" si="20"/>
        <v/>
      </c>
      <c r="CJ22" s="20" t="str">
        <f t="shared" si="21"/>
        <v/>
      </c>
    </row>
  </sheetData>
  <mergeCells count="7">
    <mergeCell ref="R8:AA8"/>
    <mergeCell ref="BG8:BP8"/>
    <mergeCell ref="CA8:CJ8"/>
    <mergeCell ref="BQ8:BZ8"/>
    <mergeCell ref="AB8:AK8"/>
    <mergeCell ref="AM8:AV8"/>
    <mergeCell ref="AW8:BF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JSC IKAR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Ryazanov, Maxim</dc:creator>
  <cp:lastModifiedBy>Ryazanov, Maxim</cp:lastModifiedBy>
  <dcterms:created xsi:type="dcterms:W3CDTF">2025-05-13T08:33:09Z</dcterms:created>
  <dcterms:modified xsi:type="dcterms:W3CDTF">2025-05-13T14:04:38Z</dcterms:modified>
</cp:coreProperties>
</file>